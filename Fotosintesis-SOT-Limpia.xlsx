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Inventario" sheetId="2" state="visible" r:id="rId4"/>
    <sheet name="Lotes" sheetId="3" state="visible" r:id="rId5"/>
    <sheet name="Sublotes" sheetId="4" state="visible" r:id="rId6"/>
    <sheet name="Proveedores" sheetId="5" state="visible" r:id="rId7"/>
    <sheet name="Clientes" sheetId="6" state="visible" r:id="rId8"/>
    <sheet name="Ventas" sheetId="7" state="visible" r:id="rId9"/>
    <sheet name="Calidades" sheetId="8" state="visible" r:id="rId10"/>
    <sheet name="Listas" sheetId="9" state="visible" r:id="rId11"/>
  </sheets>
  <definedNames>
    <definedName function="false" hidden="true" localSheetId="5" name="_xlnm._FilterDatabase" vbProcedure="false">Clientes!$A$1:$H$30</definedName>
    <definedName function="false" hidden="true" localSheetId="1" name="_xlnm._FilterDatabase" vbProcedure="false">Inventario!$A$1:$BE$514</definedName>
    <definedName function="false" hidden="true" localSheetId="2" name="_xlnm._FilterDatabase" vbProcedure="false">Lotes!$A$1:$U$99</definedName>
    <definedName function="false" hidden="true" localSheetId="4" name="_xlnm._FilterDatabase" vbProcedure="false">Proveedores!$A$1:$H$5</definedName>
    <definedName function="false" hidden="true" localSheetId="3" name="_xlnm._FilterDatabase" vbProcedure="false">Sublotes!$A$1:$K$10</definedName>
    <definedName function="false" hidden="true" localSheetId="6" name="_xlnm._FilterDatabase" vbProcedure="false">Ventas!$A$1:$O$4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<sst xmlns="http://schemas.openxmlformats.org/spreadsheetml/2006/main" count="10662" uniqueCount="3790">
  <si>
    <t xml:space="preserve">Inventario-Fotosíntesis · SOT Limpia</t>
  </si>
  <si>
    <t xml:space="preserve">Fuente única de verdad del inventario para la app Fotosíntesis. Generada consolidando</t>
  </si>
  <si>
    <t xml:space="preserve">Legacy + Convex + ModeloPrecios + Caja + Ventas + Kardex (reconciliación Sintesis).</t>
  </si>
  <si>
    <t xml:space="preserve">PESTAÑAS</t>
  </si>
  <si>
    <t xml:space="preserve">• Inventario  — 1 fila por ítem (A–AP = esquema canónico de la app; AQ–AU = ayudas).</t>
  </si>
  <si>
    <t xml:space="preserve">• Lotes       — catálogo de lotes (incluye 31 recuperados). mostrarComoLote=Sí → se vende como 1 card.</t>
  </si>
  <si>
    <t xml:space="preserve">• Sublotes    — grupos curados de ítems que se venden juntos (subconjunto de un lote).</t>
  </si>
  <si>
    <t xml:space="preserve">• Proveedores / Clientes / Ventas — catálogos y transacciones.</t>
  </si>
  <si>
    <t xml:space="preserve">• Calidades   — lista canónica + factor de precio (referencia).</t>
  </si>
  <si>
    <t xml:space="preserve">• Listas      — fuente de los menús desplegables (no borrar).</t>
  </si>
  <si>
    <t xml:space="preserve">COLUMNAS CLAVE</t>
  </si>
  <si>
    <t xml:space="preserve">• Peso (ct) D  — quilates (numérico). Peso (gr) AQ — gramos de joya (numérico).</t>
  </si>
  <si>
    <t xml:space="preserve">• costoBaseCOP L, precioEmbajadorCOP M, precioConscienteCOP N — valores estáticos limpios.</t>
  </si>
  <si>
    <t xml:space="preserve">• Costo lote (fórmula) AR = VLOOKUP(loteId→Lotes.costoTotalCOP) × preponderancia — comparación.</t>
  </si>
  <si>
    <t xml:space="preserve">• Precio x2.6 (fórmula) AS = costoBaseCOP × 2.6 — precio sugerido para comparar.</t>
  </si>
  <si>
    <t xml:space="preserve">• preponderancia U — fracción del lote (formato %).</t>
  </si>
  <si>
    <t xml:space="preserve">• QR R = https://tierramadre.app/p/{item} — payload que codifica la etiqueta (todos).</t>
  </si>
  <si>
    <t xml:space="preserve">• Producto (URL) / Carpeta fotos (Drive) — link a la app y a la carpeta Drive para editar fotos.</t>
  </si>
  <si>
    <t xml:space="preserve">DESPLEGABLES</t>
  </si>
  <si>
    <t xml:space="preserve">No estrictos (permiten escribir otro valor) para reflejar el comportamiento de la app.</t>
  </si>
  <si>
    <t xml:space="preserve">estado/calidad/color/talla/categoría/ubicación/colección/caja y más validan contra 'Listas'.</t>
  </si>
  <si>
    <t xml:space="preserve">LIMPIEZAS APLICADAS</t>
  </si>
  <si>
    <t xml:space="preserve">• Pesos corruptos (serial de fecha) recuperados; 341→8.6, 343→3.8 corregidos manualmente.</t>
  </si>
  <si>
    <t xml:space="preserve">• Ortografía/casing de calidad y color normalizados a la lista canónica.</t>
  </si>
  <si>
    <t xml:space="preserve">• Clientes deduplicados; filas vacías eliminadas; 31 lotes huérfanos recuperados.</t>
  </si>
  <si>
    <t xml:space="preserve">• Ver columna 'Notas / conflictos' por ítem para banderas.</t>
  </si>
  <si>
    <t xml:space="preserve">Item</t>
  </si>
  <si>
    <t xml:space="preserve">FECHA INGRESO INVENTARIO</t>
  </si>
  <si>
    <t xml:space="preserve">Nombre</t>
  </si>
  <si>
    <t xml:space="preserve">Peso (ct)</t>
  </si>
  <si>
    <t xml:space="preserve">Color</t>
  </si>
  <si>
    <t xml:space="preserve">Calidad</t>
  </si>
  <si>
    <t xml:space="preserve">Cant.</t>
  </si>
  <si>
    <t xml:space="preserve">Talla</t>
  </si>
  <si>
    <t xml:space="preserve">Medidas</t>
  </si>
  <si>
    <t xml:space="preserve">Medidas (valores)</t>
  </si>
  <si>
    <t xml:space="preserve">Categoría</t>
  </si>
  <si>
    <t xml:space="preserve">costoBaseCOP</t>
  </si>
  <si>
    <t xml:space="preserve">precioEmbajadorCOP</t>
  </si>
  <si>
    <t xml:space="preserve">precioConscienteCOP</t>
  </si>
  <si>
    <t xml:space="preserve">UBICACIÓN</t>
  </si>
  <si>
    <t xml:space="preserve">ASESOR</t>
  </si>
  <si>
    <t xml:space="preserve">ESTADO</t>
  </si>
  <si>
    <t xml:space="preserve">QR</t>
  </si>
  <si>
    <t xml:space="preserve">Colección</t>
  </si>
  <si>
    <t xml:space="preserve">CAJA</t>
  </si>
  <si>
    <t xml:space="preserve">preponderancia</t>
  </si>
  <si>
    <t xml:space="preserve">ASESOR ACTUAL</t>
  </si>
  <si>
    <t xml:space="preserve">ESTADO ASESOR</t>
  </si>
  <si>
    <t xml:space="preserve">loteId</t>
  </si>
  <si>
    <t xml:space="preserve">mostrarEnCatalogo</t>
  </si>
  <si>
    <t xml:space="preserve">procedencia</t>
  </si>
  <si>
    <t xml:space="preserve">observacion</t>
  </si>
  <si>
    <t xml:space="preserve">rendimientoEsperado</t>
  </si>
  <si>
    <t xml:space="preserve">cantidadEstimada</t>
  </si>
  <si>
    <t xml:space="preserve">nivelRareza</t>
  </si>
  <si>
    <t xml:space="preserve">calificacion</t>
  </si>
  <si>
    <t xml:space="preserve">tipoEsmeralda</t>
  </si>
  <si>
    <t xml:space="preserve">subtipoForm</t>
  </si>
  <si>
    <t xml:space="preserve">tipoJoya</t>
  </si>
  <si>
    <t xml:space="preserve">tecnicaJoya</t>
  </si>
  <si>
    <t xml:space="preserve">minerales</t>
  </si>
  <si>
    <t xml:space="preserve">complementos</t>
  </si>
  <si>
    <t xml:space="preserve">fotoUrl</t>
  </si>
  <si>
    <t xml:space="preserve">certificadoUrl</t>
  </si>
  <si>
    <t xml:space="preserve">formulaGema</t>
  </si>
  <si>
    <t xml:space="preserve">formulaJoya</t>
  </si>
  <si>
    <t xml:space="preserve">rangoDescuento</t>
  </si>
  <si>
    <t xml:space="preserve">Peso (gr)</t>
  </si>
  <si>
    <t xml:space="preserve">Costo lote (fórmula)</t>
  </si>
  <si>
    <t xml:space="preserve">Precio x2.6 (fórmula)</t>
  </si>
  <si>
    <t xml:space="preserve">Precio objetivo (modelo)</t>
  </si>
  <si>
    <t xml:space="preserve">Caja: precio venta</t>
  </si>
  <si>
    <t xml:space="preserve">Caja: valor pagado</t>
  </si>
  <si>
    <t xml:space="preserve">Caja: saldo</t>
  </si>
  <si>
    <t xml:space="preserve">Caja: comprador</t>
  </si>
  <si>
    <t xml:space="preserve">Caja: estado contable</t>
  </si>
  <si>
    <t xml:space="preserve">subLote (grupo)</t>
  </si>
  <si>
    <t xml:space="preserve">Producto (URL)</t>
  </si>
  <si>
    <t xml:space="preserve">Carpeta fotos (Drive)</t>
  </si>
  <si>
    <t xml:space="preserve">Anima: notas relacionadas</t>
  </si>
  <si>
    <t xml:space="preserve">Fuentes</t>
  </si>
  <si>
    <t xml:space="preserve">Notas / conflictos</t>
  </si>
  <si>
    <t xml:space="preserve">31-oct-2025</t>
  </si>
  <si>
    <t xml:space="preserve">Rey Midas</t>
  </si>
  <si>
    <t xml:space="preserve">Verde Natural</t>
  </si>
  <si>
    <t xml:space="preserve">COMERCIAL FINA</t>
  </si>
  <si>
    <t xml:space="preserve">Esmeralda</t>
  </si>
  <si>
    <t xml:space="preserve">Gema</t>
  </si>
  <si>
    <t xml:space="preserve">M.Campuzano</t>
  </si>
  <si>
    <t xml:space="preserve">VENDIDA</t>
  </si>
  <si>
    <t xml:space="preserve">https://tierramadre.app/p/1</t>
  </si>
  <si>
    <t xml:space="preserve">#4000</t>
  </si>
  <si>
    <t xml:space="preserve">Legalizada</t>
  </si>
  <si>
    <t xml:space="preserve">VENDIDO</t>
  </si>
  <si>
    <t xml:space="preserve">https://tierramadre.app/product/1</t>
  </si>
  <si>
    <t xml:space="preserve">https://drive.google.com/drive/folders/194ctZBJ3jKBQrP1k6LbqwYAwxxY9Y-Zo</t>
  </si>
  <si>
    <t xml:space="preserve">2026-07-18-rey-midas-item-1</t>
  </si>
  <si>
    <t xml:space="preserve">Legacy + Fotosintesis/Convex + CajaInventario</t>
  </si>
  <si>
    <t xml:space="preserve">costo estimado = precio/2.6 (costo original igualaba al precio)</t>
  </si>
  <si>
    <t xml:space="preserve">Las Niñas</t>
  </si>
  <si>
    <t xml:space="preserve">Redonda</t>
  </si>
  <si>
    <t xml:space="preserve">M.Echeverry</t>
  </si>
  <si>
    <t xml:space="preserve">https://tierramadre.app/p/2</t>
  </si>
  <si>
    <t xml:space="preserve">https://tierramadre.app/product/2</t>
  </si>
  <si>
    <t xml:space="preserve">https://drive.google.com/drive/folders/1f0pQmqKCoH27iYLaGLojrxNoIMKSGH5a</t>
  </si>
  <si>
    <t xml:space="preserve">2026-07-18-las-ninas-item-2</t>
  </si>
  <si>
    <t xml:space="preserve">Las Margaritas</t>
  </si>
  <si>
    <t xml:space="preserve">EMBAJADOR</t>
  </si>
  <si>
    <t xml:space="preserve">Isa la Negra Vikinga Warrior Portocarrero</t>
  </si>
  <si>
    <t xml:space="preserve">https://tierramadre.app/p/3</t>
  </si>
  <si>
    <t xml:space="preserve">Pte Fecha x Legalizar</t>
  </si>
  <si>
    <t xml:space="preserve">CARTERA</t>
  </si>
  <si>
    <t xml:space="preserve">https://tierramadre.app/product/3</t>
  </si>
  <si>
    <t xml:space="preserve">https://drive.google.com/drive/folders/1kXononMMYnH_6D8ogQMy0uy7CpaDSwKF</t>
  </si>
  <si>
    <t xml:space="preserve">2026-07-18-las-margaritas-item-3</t>
  </si>
  <si>
    <t xml:space="preserve">Los Robles</t>
  </si>
  <si>
    <t xml:space="preserve">A.Molano</t>
  </si>
  <si>
    <t xml:space="preserve">https://tierramadre.app/p/4</t>
  </si>
  <si>
    <t xml:space="preserve">https://tierramadre.app/product/4</t>
  </si>
  <si>
    <t xml:space="preserve">https://drive.google.com/drive/folders/1ct_fayajbdnGYyepO4WvlxzzD2mYuePw</t>
  </si>
  <si>
    <t xml:space="preserve">2026-07-18-los-robles-item-4</t>
  </si>
  <si>
    <t xml:space="preserve">Los 
Tulipanes</t>
  </si>
  <si>
    <t xml:space="preserve">COMERCIAL SUPERIOR</t>
  </si>
  <si>
    <t xml:space="preserve">Cuadrada</t>
  </si>
  <si>
    <t xml:space="preserve">M.Gómez</t>
  </si>
  <si>
    <t xml:space="preserve">https://tierramadre.app/p/5</t>
  </si>
  <si>
    <t xml:space="preserve">M.Gomez</t>
  </si>
  <si>
    <t xml:space="preserve">https://tierramadre.app/product/5</t>
  </si>
  <si>
    <t xml:space="preserve">https://drive.google.com/drive/folders/1Ml10tLHgct3VB2RqrRLx-wKYVONJty1R</t>
  </si>
  <si>
    <t xml:space="preserve">2026-07-18-los-tulipanes-item-5</t>
  </si>
  <si>
    <t xml:space="preserve">Caja (snapshot) registra comprador 'M.Gomez' vs asesor actual 'M.Gómez' — revisar si son ventas distintas o la copia está desactualizada. · costo estimado = precio/2.6 (costo original igualaba al precio)</t>
  </si>
  <si>
    <t xml:space="preserve">Jardín 
Escondido</t>
  </si>
  <si>
    <t xml:space="preserve">https://tierramadre.app/p/6</t>
  </si>
  <si>
    <t xml:space="preserve">https://tierramadre.app/product/6</t>
  </si>
  <si>
    <t xml:space="preserve">https://drive.google.com/drive/folders/128cd636PXCN_OJNu7Ml-HWO60E0y3nh1</t>
  </si>
  <si>
    <t xml:space="preserve">2026-07-18-jardin-escondido-item-6</t>
  </si>
  <si>
    <t xml:space="preserve">Trilogía</t>
  </si>
  <si>
    <t xml:space="preserve">https://tierramadre.app/p/7</t>
  </si>
  <si>
    <t xml:space="preserve">https://tierramadre.app/product/7</t>
  </si>
  <si>
    <t xml:space="preserve">https://drive.google.com/drive/folders/1C6LBBdS68h22LsCBhGH9likIuIt0ioOJ</t>
  </si>
  <si>
    <t xml:space="preserve">2026-07-18-trilogia-item-7</t>
  </si>
  <si>
    <t xml:space="preserve">Bambú</t>
  </si>
  <si>
    <t xml:space="preserve">https://tierramadre.app/p/8</t>
  </si>
  <si>
    <t xml:space="preserve">https://tierramadre.app/product/8</t>
  </si>
  <si>
    <t xml:space="preserve">https://drive.google.com/drive/folders/1_MmIVPvsjdJvwFiJHj9b8hux-UU4HrB8</t>
  </si>
  <si>
    <t xml:space="preserve">2026-07-18-bambu-item-8</t>
  </si>
  <si>
    <t xml:space="preserve">Turquesa</t>
  </si>
  <si>
    <t xml:space="preserve">COMERCIAL ESTÁNDAR</t>
  </si>
  <si>
    <t xml:space="preserve">https://tierramadre.app/p/9</t>
  </si>
  <si>
    <t xml:space="preserve">https://tierramadre.app/product/9</t>
  </si>
  <si>
    <t xml:space="preserve">https://drive.google.com/drive/folders/1i7hpPgZYv3ypngGeSLG2vZZOOcMOKocb</t>
  </si>
  <si>
    <t xml:space="preserve">2026-07-18-turquesa-item-9</t>
  </si>
  <si>
    <t xml:space="preserve">Jazmin</t>
  </si>
  <si>
    <t xml:space="preserve">OFI.CALI</t>
  </si>
  <si>
    <t xml:space="preserve">DISPONIBLE</t>
  </si>
  <si>
    <t xml:space="preserve">https://tierramadre.app/p/10</t>
  </si>
  <si>
    <t xml:space="preserve">C-058</t>
  </si>
  <si>
    <t xml:space="preserve">Gola</t>
  </si>
  <si>
    <t xml:space="preserve">Tierra Madre</t>
  </si>
  <si>
    <t xml:space="preserve">Disponible</t>
  </si>
  <si>
    <t xml:space="preserve">https://tierramadre.app/product/10</t>
  </si>
  <si>
    <t xml:space="preserve">https://drive.google.com/drive/folders/1UDgx_-NJ4dzukfdAEZ6Docmqb9mafGxS</t>
  </si>
  <si>
    <t xml:space="preserve">2026-07-13-jazmin-item-10 · 2026-07-17-jazmin-item-10-vendida</t>
  </si>
  <si>
    <t xml:space="preserve">Legacy + Fotosintesis/Convex + ModeloPrecios + CajaInventario</t>
  </si>
  <si>
    <t xml:space="preserve">Calidad difiere: legacy=Comercial Estándar vs modeloPrecios=C. Estándar | Caja (snapshot) registra comprador 'Tierra Madre' vs asesor actual 'M.Campuzano' — revisar si son ventas distintas o la copia está desactualizada.</t>
  </si>
  <si>
    <t xml:space="preserve">Rosario</t>
  </si>
  <si>
    <t xml:space="preserve">https://tierramadre.app/p/11</t>
  </si>
  <si>
    <t xml:space="preserve">https://tierramadre.app/product/11</t>
  </si>
  <si>
    <t xml:space="preserve">https://drive.google.com/drive/folders/1Ae8JfDOC4WH7JWR9YzCnCEceMnuYPlDZ</t>
  </si>
  <si>
    <t xml:space="preserve">2026-07-18-rosario-item-11</t>
  </si>
  <si>
    <t xml:space="preserve">Baby Green</t>
  </si>
  <si>
    <t xml:space="preserve">Verde Limón</t>
  </si>
  <si>
    <t xml:space="preserve">https://tierramadre.app/p/12</t>
  </si>
  <si>
    <t xml:space="preserve">https://tierramadre.app/product/12</t>
  </si>
  <si>
    <t xml:space="preserve">https://drive.google.com/drive/folders/11lpxWncpyBq_YoAs22kOIOrz_greUMmn</t>
  </si>
  <si>
    <t xml:space="preserve">2026-07-18-baby-green-item-12</t>
  </si>
  <si>
    <t xml:space="preserve">Amazonas</t>
  </si>
  <si>
    <t xml:space="preserve">Ovalo</t>
  </si>
  <si>
    <t xml:space="preserve">https://tierramadre.app/p/13</t>
  </si>
  <si>
    <t xml:space="preserve">https://tierramadre.app/product/13</t>
  </si>
  <si>
    <t xml:space="preserve">https://drive.google.com/drive/folders/129kesHdlmj7_0yUitRhzsYGinKqx_RdZ</t>
  </si>
  <si>
    <t xml:space="preserve">2026-07-18-amazonas-item-13</t>
  </si>
  <si>
    <t xml:space="preserve">Leticia</t>
  </si>
  <si>
    <t xml:space="preserve">https://tierramadre.app/p/14</t>
  </si>
  <si>
    <t xml:space="preserve">https://tierramadre.app/product/14</t>
  </si>
  <si>
    <t xml:space="preserve">https://drive.google.com/drive/folders/1ZMZ6uPiT2bgQl9Y1GfKgM7QWJUnfczX_</t>
  </si>
  <si>
    <t xml:space="preserve">2026-07-18-leticia-item-14</t>
  </si>
  <si>
    <t xml:space="preserve">Caja (snapshot) registra comprador 'Tierra Madre' vs asesor actual 'M.Campuzano' — revisar si son ventas distintas o la copia está desactualizada. · costo estimado = precio/2.6 (costo original igualaba al precio)</t>
  </si>
  <si>
    <t xml:space="preserve">Madre Selva</t>
  </si>
  <si>
    <t xml:space="preserve">https://tierramadre.app/p/15</t>
  </si>
  <si>
    <t xml:space="preserve">https://tierramadre.app/product/15</t>
  </si>
  <si>
    <t xml:space="preserve">https://drive.google.com/drive/folders/1O-7j5NRL1CdfqmIr7fAG6HGO3VJPK3mt</t>
  </si>
  <si>
    <t xml:space="preserve">2026-07-18-madre-selva-item-15</t>
  </si>
  <si>
    <t xml:space="preserve">Pacífico</t>
  </si>
  <si>
    <t xml:space="preserve">https://tierramadre.app/p/16</t>
  </si>
  <si>
    <t xml:space="preserve">https://tierramadre.app/product/16</t>
  </si>
  <si>
    <t xml:space="preserve">https://drive.google.com/drive/folders/1nFmRjpaKiJegs_yj-ZhoOsY8VvUK4Mr0</t>
  </si>
  <si>
    <t xml:space="preserve">2026-07-18-pacifico-item-16</t>
  </si>
  <si>
    <t xml:space="preserve">Mística</t>
  </si>
  <si>
    <t xml:space="preserve">Lágrima</t>
  </si>
  <si>
    <t xml:space="preserve">https://tierramadre.app/p/17</t>
  </si>
  <si>
    <t xml:space="preserve">https://tierramadre.app/product/17</t>
  </si>
  <si>
    <t xml:space="preserve">https://drive.google.com/drive/folders/1AGZwNq6hnFV6zFgJVZWSkVDOC4c5Kq4J</t>
  </si>
  <si>
    <t xml:space="preserve">2026-07-18-mistica-item-17</t>
  </si>
  <si>
    <t xml:space="preserve">Caja (snapshot) registra comprador 'M.Gomez' vs asesor actual 'M.Gómez' — revisar si son ventas distintas o la copia está desactualizada.</t>
  </si>
  <si>
    <t xml:space="preserve">Pachitas</t>
  </si>
  <si>
    <t xml:space="preserve">https://tierramadre.app/p/18</t>
  </si>
  <si>
    <t xml:space="preserve">Pte Legalizar</t>
  </si>
  <si>
    <t xml:space="preserve">https://tierramadre.app/product/18</t>
  </si>
  <si>
    <t xml:space="preserve">https://drive.google.com/drive/folders/1V9EK9N6WjIzsImGztuqojvoYtpohLTrS</t>
  </si>
  <si>
    <t xml:space="preserve">2026-07-18-pachitas-item-18</t>
  </si>
  <si>
    <t xml:space="preserve">5 Estrellas</t>
  </si>
  <si>
    <t xml:space="preserve">https://tierramadre.app/p/19</t>
  </si>
  <si>
    <t xml:space="preserve">https://tierramadre.app/product/19</t>
  </si>
  <si>
    <t xml:space="preserve">https://drive.google.com/drive/folders/1hWzLBarjP25vCmvxEnDtbm22Cln7Sgq8</t>
  </si>
  <si>
    <t xml:space="preserve">2026-07-18-5-estrellas-item-19</t>
  </si>
  <si>
    <t xml:space="preserve">2 Pinticas</t>
  </si>
  <si>
    <t xml:space="preserve">Paola Daza</t>
  </si>
  <si>
    <t xml:space="preserve">https://tierramadre.app/p/20</t>
  </si>
  <si>
    <t xml:space="preserve">https://tierramadre.app/product/20</t>
  </si>
  <si>
    <t xml:space="preserve">https://drive.google.com/drive/folders/1uEbSr_4XGRexukQBE3gtST6NCViBi_r8</t>
  </si>
  <si>
    <t xml:space="preserve">2026-07-18-2-pinticas-item-20</t>
  </si>
  <si>
    <t xml:space="preserve">Dualidad</t>
  </si>
  <si>
    <t xml:space="preserve">https://tierramadre.app/p/21</t>
  </si>
  <si>
    <t xml:space="preserve">https://tierramadre.app/product/21</t>
  </si>
  <si>
    <t xml:space="preserve">https://drive.google.com/drive/folders/1fpGsWEih1WDqEYbVpKLXnScNMxdu_BoP</t>
  </si>
  <si>
    <t xml:space="preserve">2026-07-18-dualidad-item-21</t>
  </si>
  <si>
    <t xml:space="preserve">Brasil</t>
  </si>
  <si>
    <t xml:space="preserve">https://tierramadre.app/p/22</t>
  </si>
  <si>
    <t xml:space="preserve">https://tierramadre.app/product/22</t>
  </si>
  <si>
    <t xml:space="preserve">https://drive.google.com/drive/folders/1UsrsRKJQIUF-T2t4LyeFMhMXut5WUgMv</t>
  </si>
  <si>
    <t xml:space="preserve">2026-07-18-brasil-item-22</t>
  </si>
  <si>
    <t xml:space="preserve">Guajira</t>
  </si>
  <si>
    <t xml:space="preserve">Pablito</t>
  </si>
  <si>
    <t xml:space="preserve">https://tierramadre.app/p/23</t>
  </si>
  <si>
    <t xml:space="preserve">https://tierramadre.app/product/23</t>
  </si>
  <si>
    <t xml:space="preserve">https://drive.google.com/drive/folders/1NqWuRiC1oc5C-vziwQR5flgv5n2pbAwb</t>
  </si>
  <si>
    <t xml:space="preserve">2026-07-18-guajira-item-23</t>
  </si>
  <si>
    <t xml:space="preserve">Aqua</t>
  </si>
  <si>
    <t xml:space="preserve">https://tierramadre.app/p/24</t>
  </si>
  <si>
    <t xml:space="preserve">https://tierramadre.app/product/24</t>
  </si>
  <si>
    <t xml:space="preserve">https://drive.google.com/drive/folders/1M688e1omkth5-S86LbXHSgIUd0jCvXD_</t>
  </si>
  <si>
    <t xml:space="preserve">2026-07-18-aqua-item-24</t>
  </si>
  <si>
    <t xml:space="preserve">Las Emperatrices</t>
  </si>
  <si>
    <t xml:space="preserve">Verde Menta</t>
  </si>
  <si>
    <t xml:space="preserve">https://tierramadre.app/p/25</t>
  </si>
  <si>
    <t xml:space="preserve">https://tierramadre.app/product/25</t>
  </si>
  <si>
    <t xml:space="preserve">https://drive.google.com/drive/folders/11JzkwLX7sllytq36gOy557XUrIcuEOpS</t>
  </si>
  <si>
    <t xml:space="preserve">2026-07-18-las-emperatrices-item-25</t>
  </si>
  <si>
    <t xml:space="preserve">Madre e Hija</t>
  </si>
  <si>
    <t xml:space="preserve">https://tierramadre.app/p/26</t>
  </si>
  <si>
    <t xml:space="preserve">https://tierramadre.app/product/26</t>
  </si>
  <si>
    <t xml:space="preserve">https://drive.google.com/drive/folders/1LXXT8Kc55Rle2B4YP7DMm9Bd0W77-I5c</t>
  </si>
  <si>
    <t xml:space="preserve">2026-07-18-madre-e-hija-item-26</t>
  </si>
  <si>
    <t xml:space="preserve">Hijos de
 la Tierra</t>
  </si>
  <si>
    <t xml:space="preserve">https://tierramadre.app/p/27</t>
  </si>
  <si>
    <t xml:space="preserve">https://tierramadre.app/product/27</t>
  </si>
  <si>
    <t xml:space="preserve">https://drive.google.com/drive/folders/1Notlg6O4K2JcJ1OJtwicXEmGyk9nGmub</t>
  </si>
  <si>
    <t xml:space="preserve">2026-07-18-hijos-de-la-tierra-item-27</t>
  </si>
  <si>
    <t xml:space="preserve">Las 3 Marías</t>
  </si>
  <si>
    <t xml:space="preserve">Jennifer.Florez</t>
  </si>
  <si>
    <t xml:space="preserve">https://tierramadre.app/p/28</t>
  </si>
  <si>
    <t xml:space="preserve">Jenifer.Florez</t>
  </si>
  <si>
    <t xml:space="preserve">https://tierramadre.app/product/28</t>
  </si>
  <si>
    <t xml:space="preserve">https://drive.google.com/drive/folders/1T5Co05DVsSoOcuCglRd9RUB_EIVGwnSl</t>
  </si>
  <si>
    <t xml:space="preserve">2026-07-18-las-3-marias-item-28</t>
  </si>
  <si>
    <t xml:space="preserve">Caja (snapshot) registra comprador 'Jenifer.Florez' vs asesor actual 'Jennifer.Florez' — revisar si son ventas distintas o la copia está desactualizada. · costo estimado = precio/2.6 (costo original igualaba al precio)</t>
  </si>
  <si>
    <t xml:space="preserve">11-nov-2025</t>
  </si>
  <si>
    <t xml:space="preserve">Hijos del sol</t>
  </si>
  <si>
    <t xml:space="preserve">COMERCIAL SÚPER FINA</t>
  </si>
  <si>
    <t xml:space="preserve">Largo x Ancho</t>
  </si>
  <si>
    <t xml:space="preserve">6.2 × 5.4 mm</t>
  </si>
  <si>
    <t xml:space="preserve">https://tierramadre.app/p/29</t>
  </si>
  <si>
    <t xml:space="preserve">11:11</t>
  </si>
  <si>
    <t xml:space="preserve">https://tierramadre.app/product/29</t>
  </si>
  <si>
    <t xml:space="preserve">https://drive.google.com/drive/folders/1nU2FfG06DAMolYiu8U5EMZ6UEA-I9gOl</t>
  </si>
  <si>
    <t xml:space="preserve">2026-07-15-hijos-del-sol-item-29</t>
  </si>
  <si>
    <t xml:space="preserve">Amor Eterno</t>
  </si>
  <si>
    <t xml:space="preserve">6.2 × 4.3 mm</t>
  </si>
  <si>
    <t xml:space="preserve">https://tierramadre.app/p/30</t>
  </si>
  <si>
    <t xml:space="preserve">https://tierramadre.app/product/30</t>
  </si>
  <si>
    <t xml:space="preserve">https://drive.google.com/drive/folders/1szKVIxqzH4rULLps4t7uEK87fvZrQPAz</t>
  </si>
  <si>
    <t xml:space="preserve">2026-07-18-amor-eterno-item-30</t>
  </si>
  <si>
    <t xml:space="preserve">peso ct recuperado de serial Excel · Caja (snapshot) registra comprador 'Jenifer.Florez' vs asesor actual 'Jennifer.Florez' — revisar si son ventas distintas o la copia está desactualizada. · costo estimado = precio/2.6 (costo original igualaba al precio)</t>
  </si>
  <si>
    <t xml:space="preserve">Alma Verde</t>
  </si>
  <si>
    <t xml:space="preserve">5.1 × 4.4 mm</t>
  </si>
  <si>
    <t xml:space="preserve">https://tierramadre.app/p/31</t>
  </si>
  <si>
    <t xml:space="preserve">https://tierramadre.app/product/31</t>
  </si>
  <si>
    <t xml:space="preserve">https://drive.google.com/drive/folders/1iXzJMscyh24O_lq5xgd1n549HpKfwzwJ</t>
  </si>
  <si>
    <t xml:space="preserve">2026-07-18-alma-verde-item-31</t>
  </si>
  <si>
    <t xml:space="preserve">Venus</t>
  </si>
  <si>
    <t xml:space="preserve">4 × 5 mm</t>
  </si>
  <si>
    <t xml:space="preserve">https://tierramadre.app/p/32</t>
  </si>
  <si>
    <t xml:space="preserve">https://tierramadre.app/product/32</t>
  </si>
  <si>
    <t xml:space="preserve">https://drive.google.com/drive/folders/1K516L8m71wHAMHjSgsk-uhVPFaMYJ-bK</t>
  </si>
  <si>
    <t xml:space="preserve">2026-07-18-venus-item-32</t>
  </si>
  <si>
    <t xml:space="preserve">Diosa de
 la Laguna</t>
  </si>
  <si>
    <t xml:space="preserve">https://tierramadre.app/p/33</t>
  </si>
  <si>
    <t xml:space="preserve">https://tierramadre.app/product/33</t>
  </si>
  <si>
    <t xml:space="preserve">https://drive.google.com/drive/folders/12tstqF-Q4zLQJPs97OM224JhiM19pOi3</t>
  </si>
  <si>
    <t xml:space="preserve">2026-07-18-diosa-de-la-laguna-item-33</t>
  </si>
  <si>
    <t xml:space="preserve">Gaia</t>
  </si>
  <si>
    <t xml:space="preserve">Diámetro</t>
  </si>
  <si>
    <t xml:space="preserve">52 mm</t>
  </si>
  <si>
    <t xml:space="preserve">J.I.Florez</t>
  </si>
  <si>
    <t xml:space="preserve">https://tierramadre.app/p/34</t>
  </si>
  <si>
    <t xml:space="preserve">https://tierramadre.app/product/34</t>
  </si>
  <si>
    <t xml:space="preserve">https://drive.google.com/drive/folders/1TCCqfotVP1NaI_WQGfgWMV0_2D6bswku</t>
  </si>
  <si>
    <t xml:space="preserve">2026-07-18-gaia-item-34</t>
  </si>
  <si>
    <t xml:space="preserve">Inspiración
Divina</t>
  </si>
  <si>
    <t xml:space="preserve">FINA ESENCIAL</t>
  </si>
  <si>
    <t xml:space="preserve">4.9 × 4.1 mm</t>
  </si>
  <si>
    <t xml:space="preserve">https://tierramadre.app/p/35</t>
  </si>
  <si>
    <t xml:space="preserve">https://tierramadre.app/product/35</t>
  </si>
  <si>
    <t xml:space="preserve">https://drive.google.com/drive/folders/1swjdgJD9GqwqhzMnhwg8FiClvZHFQ_EY</t>
  </si>
  <si>
    <t xml:space="preserve">2026-07-18-inspiracion-divina-item-35</t>
  </si>
  <si>
    <t xml:space="preserve">Lunera</t>
  </si>
  <si>
    <t xml:space="preserve">5.0 × 4.3 mm</t>
  </si>
  <si>
    <t xml:space="preserve">https://tierramadre.app/p/36</t>
  </si>
  <si>
    <t xml:space="preserve">https://tierramadre.app/product/36</t>
  </si>
  <si>
    <t xml:space="preserve">https://drive.google.com/drive/folders/1UAx_59A5wbey4ALZxhcbj28uU_Lg54xL</t>
  </si>
  <si>
    <t xml:space="preserve">2026-07-18-lunera-item-36</t>
  </si>
  <si>
    <t xml:space="preserve">Ojo de Zeus</t>
  </si>
  <si>
    <t xml:space="preserve">4.8 mm</t>
  </si>
  <si>
    <t xml:space="preserve">https://tierramadre.app/p/37</t>
  </si>
  <si>
    <t xml:space="preserve">https://tierramadre.app/product/37</t>
  </si>
  <si>
    <t xml:space="preserve">https://drive.google.com/drive/folders/1JegA-Khcl-NBd-I-N8YyvhvColhdXvaa</t>
  </si>
  <si>
    <t xml:space="preserve">2026-07-18-ojo-de-zeus-item-37</t>
  </si>
  <si>
    <t xml:space="preserve">Infinito</t>
  </si>
  <si>
    <t xml:space="preserve">4.8 × 4.8 mm</t>
  </si>
  <si>
    <t xml:space="preserve">K.Pineda</t>
  </si>
  <si>
    <t xml:space="preserve">https://tierramadre.app/p/38</t>
  </si>
  <si>
    <t xml:space="preserve">https://tierramadre.app/product/38</t>
  </si>
  <si>
    <t xml:space="preserve">https://drive.google.com/drive/folders/1aGb44P2X_RXl-MO9BbyWsCJ4q9ndQkis</t>
  </si>
  <si>
    <t xml:space="preserve">2026-07-18-infinito-item-38</t>
  </si>
  <si>
    <t xml:space="preserve">Galaxia</t>
  </si>
  <si>
    <t xml:space="preserve">55 mm</t>
  </si>
  <si>
    <t xml:space="preserve">https://tierramadre.app/p/39</t>
  </si>
  <si>
    <t xml:space="preserve">https://tierramadre.app/product/39</t>
  </si>
  <si>
    <t xml:space="preserve">https://drive.google.com/drive/folders/1Rd8K4VUjmrTZT0neqkRQKK5umtGSAepa</t>
  </si>
  <si>
    <t xml:space="preserve">2026-07-18-galaxia-item-39</t>
  </si>
  <si>
    <t xml:space="preserve">Resplandor</t>
  </si>
  <si>
    <t xml:space="preserve">5.6 × 4.2 mm</t>
  </si>
  <si>
    <t xml:space="preserve">L.A.Ospina</t>
  </si>
  <si>
    <t xml:space="preserve">https://tierramadre.app/p/40</t>
  </si>
  <si>
    <t xml:space="preserve">https://tierramadre.app/product/40</t>
  </si>
  <si>
    <t xml:space="preserve">https://drive.google.com/drive/folders/1YTif5tlCEvuIAMyZAxVNqjONBv2fDhRZ</t>
  </si>
  <si>
    <t xml:space="preserve">2026-07-18-resplandor-item-40</t>
  </si>
  <si>
    <t xml:space="preserve">12-nov-2025</t>
  </si>
  <si>
    <t xml:space="preserve">L:A
Anillo Corona</t>
  </si>
  <si>
    <t xml:space="preserve">Plata - comercial</t>
  </si>
  <si>
    <t xml:space="preserve">5</t>
  </si>
  <si>
    <t xml:space="preserve">Anillo en Plata</t>
  </si>
  <si>
    <t xml:space="preserve">M.Restrepo</t>
  </si>
  <si>
    <t xml:space="preserve">https://tierramadre.app/p/41</t>
  </si>
  <si>
    <t xml:space="preserve">Fénix</t>
  </si>
  <si>
    <t xml:space="preserve">https://tierramadre.app/product/41</t>
  </si>
  <si>
    <t xml:space="preserve">https://drive.google.com/drive/folders/1kl4ymlxIIfzSwWF2aRlGBThiJnQIgsT-</t>
  </si>
  <si>
    <t xml:space="preserve">2026-07-18-anillo-corona-item-41</t>
  </si>
  <si>
    <t xml:space="preserve">13-nov-2025</t>
  </si>
  <si>
    <t xml:space="preserve">L:A
Anillo de Plata</t>
  </si>
  <si>
    <t xml:space="preserve">7</t>
  </si>
  <si>
    <t xml:space="preserve">D.Suárez</t>
  </si>
  <si>
    <t xml:space="preserve">https://tierramadre.app/p/42</t>
  </si>
  <si>
    <t xml:space="preserve">D.Suarez</t>
  </si>
  <si>
    <t xml:space="preserve">https://tierramadre.app/product/42</t>
  </si>
  <si>
    <t xml:space="preserve">https://drive.google.com/drive/folders/11ijpGxGRddtfSu_TB0ieCZ6ikKCkSdRb</t>
  </si>
  <si>
    <t xml:space="preserve">2026-07-18-anillo-de-plata-item-42</t>
  </si>
  <si>
    <t xml:space="preserve">Caja (snapshot) registra comprador 'D.Suarez' vs asesor actual 'D.Suárez' — revisar si son ventas distintas o la copia está desactualizada.</t>
  </si>
  <si>
    <t xml:space="preserve">L:A
LOTE:23B</t>
  </si>
  <si>
    <t xml:space="preserve">Lote de Gemas</t>
  </si>
  <si>
    <t xml:space="preserve">Juan Manuel Escobar Ramirez</t>
  </si>
  <si>
    <t xml:space="preserve">https://tierramadre.app/p/43</t>
  </si>
  <si>
    <t xml:space="preserve">https://tierramadre.app/product/43</t>
  </si>
  <si>
    <t xml:space="preserve">https://drive.google.com/drive/folders/18GBjjbrJ1Z9oyx5MPzA1C8GFinSYqB8C</t>
  </si>
  <si>
    <t xml:space="preserve">2026-07-18-lote-23b-item-43</t>
  </si>
  <si>
    <t xml:space="preserve">14-nov-2025</t>
  </si>
  <si>
    <t xml:space="preserve">L:A
Bombon
Super Poderosa</t>
  </si>
  <si>
    <t xml:space="preserve">https://tierramadre.app/p/44</t>
  </si>
  <si>
    <t xml:space="preserve">revisar 
 movimiento 
Bancario con 
jose -venta Hernando</t>
  </si>
  <si>
    <t xml:space="preserve">https://tierramadre.app/product/44</t>
  </si>
  <si>
    <t xml:space="preserve">https://drive.google.com/drive/folders/1qcXxmM1O6hqSPq67kPKAC8tuEC0DNur_</t>
  </si>
  <si>
    <t xml:space="preserve">2026-07-18-bombon-super-poderosa-item-44</t>
  </si>
  <si>
    <t xml:space="preserve">20-nov-2025</t>
  </si>
  <si>
    <t xml:space="preserve">L:A
Diosa 
Tierra Madre</t>
  </si>
  <si>
    <t xml:space="preserve">Verde Vívido</t>
  </si>
  <si>
    <t xml:space="preserve">5.8 × 8.6 mm</t>
  </si>
  <si>
    <t xml:space="preserve">https://tierramadre.app/p/45</t>
  </si>
  <si>
    <t xml:space="preserve">https://tierramadre.app/product/45</t>
  </si>
  <si>
    <t xml:space="preserve">https://drive.google.com/drive/folders/1ms4-7GKAvUmAzaXZUS04eHtXrkwfaawP</t>
  </si>
  <si>
    <t xml:space="preserve">2026-07-15-diosa-tierra-madre-item-45</t>
  </si>
  <si>
    <t xml:space="preserve">peso ct recuperado de serial Excel · costo estimado = precio/2.6 (costo original igualaba al precio)</t>
  </si>
  <si>
    <t xml:space="preserve">L:A
Amor Platónico</t>
  </si>
  <si>
    <t xml:space="preserve">Cushion</t>
  </si>
  <si>
    <t xml:space="preserve">8.0 × 8.9 mm</t>
  </si>
  <si>
    <t xml:space="preserve">https://tierramadre.app/p/46</t>
  </si>
  <si>
    <t xml:space="preserve">En pago -Gildardo -luis -la negra  -
 fue entregado
 como prenda por corazón tierra madre</t>
  </si>
  <si>
    <t xml:space="preserve">https://tierramadre.app/product/46</t>
  </si>
  <si>
    <t xml:space="preserve">https://drive.google.com/drive/folders/1Ft31_79kF2gRHPSTTuzvmdY0WPa2jTv7</t>
  </si>
  <si>
    <t xml:space="preserve">2026-07-18-amor-platonico-item-46</t>
  </si>
  <si>
    <t xml:space="preserve">Caja (snapshot) registra comprador 'Isa la Negra Vikinga Warrior Portocarrero' vs asesor actual 'L.A.Ospina' — revisar si son ventas distintas o la copia está desactualizada. · costo estimado = precio/2.6 (costo original igualaba al precio)</t>
  </si>
  <si>
    <t xml:space="preserve">L:A
Corazón 
Tierra Madre</t>
  </si>
  <si>
    <t xml:space="preserve">Verde Muzo</t>
  </si>
  <si>
    <t xml:space="preserve">Corazón</t>
  </si>
  <si>
    <t xml:space="preserve">7.3 × 8.7 × 5.6 mm</t>
  </si>
  <si>
    <t xml:space="preserve">https://tierramadre.app/p/47</t>
  </si>
  <si>
    <t xml:space="preserve">Revisar movimiento
 de Caja esta como egreso</t>
  </si>
  <si>
    <t xml:space="preserve">https://tierramadre.app/product/47</t>
  </si>
  <si>
    <t xml:space="preserve">https://drive.google.com/drive/folders/1sx6Wv7950TuGZUpca3Au_nQX6O6RY29J</t>
  </si>
  <si>
    <t xml:space="preserve">2026-07-18-corazon-tierra-madre-item-47</t>
  </si>
  <si>
    <t xml:space="preserve">15-nov-2025</t>
  </si>
  <si>
    <t xml:space="preserve">L:A
Anillo
 Con Dorado</t>
  </si>
  <si>
    <t xml:space="preserve">6</t>
  </si>
  <si>
    <t xml:space="preserve">https://tierramadre.app/p/48</t>
  </si>
  <si>
    <t xml:space="preserve">https://tierramadre.app/product/48</t>
  </si>
  <si>
    <t xml:space="preserve">https://drive.google.com/drive/folders/1TIPNurw0iSImJgu1D7r4VzDLd_vY_rc_</t>
  </si>
  <si>
    <t xml:space="preserve">2026-07-18-anillo-con-dorado-item-48</t>
  </si>
  <si>
    <t xml:space="preserve">23-nov-2025</t>
  </si>
  <si>
    <t xml:space="preserve">L:II-JA
Rapunzel</t>
  </si>
  <si>
    <t xml:space="preserve">https://tierramadre.app/p/49</t>
  </si>
  <si>
    <t xml:space="preserve">Princesas</t>
  </si>
  <si>
    <t xml:space="preserve">https://tierramadre.app/product/49</t>
  </si>
  <si>
    <t xml:space="preserve">https://drive.google.com/drive/folders/1jQl0Wfw9295nXszrU0gdyHNF403m4jZh</t>
  </si>
  <si>
    <t xml:space="preserve">2026-07-18-rapunzel-item-49</t>
  </si>
  <si>
    <t xml:space="preserve">L:II-JA
Blanca Nieves</t>
  </si>
  <si>
    <t xml:space="preserve">9</t>
  </si>
  <si>
    <t xml:space="preserve">https://tierramadre.app/p/50</t>
  </si>
  <si>
    <t xml:space="preserve">M.Ruiz</t>
  </si>
  <si>
    <t xml:space="preserve">https://tierramadre.app/product/50</t>
  </si>
  <si>
    <t xml:space="preserve">https://drive.google.com/drive/folders/1STVb55Bvaq3y9YZizlz31qsraBo1ZMem</t>
  </si>
  <si>
    <t xml:space="preserve">2026-07-18-blanca-nieves-item-50</t>
  </si>
  <si>
    <t xml:space="preserve">Caja (snapshot) registra comprador 'M.Ruiz' vs asesor actual 'M.Echeverry' — revisar si son ventas distintas o la copia está desactualizada. · costo estimado = precio/2.6 (costo original igualaba al precio)</t>
  </si>
  <si>
    <t xml:space="preserve">L:II-JA
Rapunzel S.F.</t>
  </si>
  <si>
    <t xml:space="preserve">https://tierramadre.app/p/51</t>
  </si>
  <si>
    <t xml:space="preserve">https://tierramadre.app/product/51</t>
  </si>
  <si>
    <t xml:space="preserve">https://drive.google.com/drive/folders/1wFmvI7FZiFX5meLx2B2TLOr-8lRwFlcm</t>
  </si>
  <si>
    <t xml:space="preserve">2026-07-18-rapunzel-s-f-item-51</t>
  </si>
  <si>
    <t xml:space="preserve">L:II-JA
Pocahontas</t>
  </si>
  <si>
    <t xml:space="preserve">https://tierramadre.app/p/52</t>
  </si>
  <si>
    <t xml:space="preserve">https://tierramadre.app/product/52</t>
  </si>
  <si>
    <t xml:space="preserve">https://drive.google.com/drive/folders/1e0D3pFCJKQI-9CVHAHV6AOLg8Iim1PlR</t>
  </si>
  <si>
    <t xml:space="preserve">2026-07-18-pocahontas-item-52</t>
  </si>
  <si>
    <t xml:space="preserve">L:II-JA
Aurora</t>
  </si>
  <si>
    <t xml:space="preserve">https://tierramadre.app/p/53</t>
  </si>
  <si>
    <t xml:space="preserve">https://tierramadre.app/product/53</t>
  </si>
  <si>
    <t xml:space="preserve">https://drive.google.com/drive/folders/1xuml_ZGwUyztBZDUge1WS-9koQJdO003</t>
  </si>
  <si>
    <t xml:space="preserve">2026-07-18-aurora-item-53</t>
  </si>
  <si>
    <t xml:space="preserve">Caja (snapshot) registra comprador 'D.Suarez' vs asesor actual 'D.Suárez' — revisar si son ventas distintas o la copia está desactualizada. · costo estimado = precio/2.6 (costo original igualaba al precio)</t>
  </si>
  <si>
    <t xml:space="preserve">L:II-JA
Bella</t>
  </si>
  <si>
    <t xml:space="preserve">https://tierramadre.app/p/54</t>
  </si>
  <si>
    <t xml:space="preserve">https://tierramadre.app/product/54</t>
  </si>
  <si>
    <t xml:space="preserve">https://drive.google.com/drive/folders/1aGHradCiM_NCjNN6j99-KuqHduR8bcfI</t>
  </si>
  <si>
    <t xml:space="preserve">2026-07-18-bella-item-54</t>
  </si>
  <si>
    <t xml:space="preserve">L:II-JA
Daenerys</t>
  </si>
  <si>
    <t xml:space="preserve">https://tierramadre.app/p/55</t>
  </si>
  <si>
    <t xml:space="preserve">https://tierramadre.app/product/55</t>
  </si>
  <si>
    <t xml:space="preserve">https://drive.google.com/drive/folders/1-7GqjWxrlBr0Hsv9P2_YLS8li6zNbywN</t>
  </si>
  <si>
    <t xml:space="preserve">2026-07-18-daenerys-item-55</t>
  </si>
  <si>
    <t xml:space="preserve">L:II-JA
Anna</t>
  </si>
  <si>
    <t xml:space="preserve">https://tierramadre.app/p/56</t>
  </si>
  <si>
    <t xml:space="preserve">https://tierramadre.app/product/56</t>
  </si>
  <si>
    <t xml:space="preserve">https://drive.google.com/drive/folders/16U4f9EorT7PzlJAsdfgrw-q1DvsyqSP1</t>
  </si>
  <si>
    <t xml:space="preserve">2026-07-18-anna-item-56</t>
  </si>
  <si>
    <t xml:space="preserve">L:II-JA
Policarpa</t>
  </si>
  <si>
    <t xml:space="preserve">O.L.Florez</t>
  </si>
  <si>
    <t xml:space="preserve">https://tierramadre.app/p/57</t>
  </si>
  <si>
    <t xml:space="preserve">https://tierramadre.app/product/57</t>
  </si>
  <si>
    <t xml:space="preserve">https://drive.google.com/drive/folders/1h_G7E1fRpW83Pxnzsvs5SK_rIWd3vJ50</t>
  </si>
  <si>
    <t xml:space="preserve">2026-07-18-policarpa-item-57</t>
  </si>
  <si>
    <t xml:space="preserve">Caja (snapshot) registra comprador 'L.A.Ospina' vs asesor actual 'O.L.Florez' — revisar si son ventas distintas o la copia está desactualizada. · costo estimado = precio/2.6 (costo original igualaba al precio)</t>
  </si>
  <si>
    <t xml:space="preserve">L:II-JA
Flora</t>
  </si>
  <si>
    <t xml:space="preserve">8</t>
  </si>
  <si>
    <t xml:space="preserve">https://tierramadre.app/p/58</t>
  </si>
  <si>
    <t xml:space="preserve">https://tierramadre.app/product/58</t>
  </si>
  <si>
    <t xml:space="preserve">https://drive.google.com/drive/folders/1ibjVExehN4fC5xb-rQYIunkhU4F42guV</t>
  </si>
  <si>
    <t xml:space="preserve">2026-07-18-flora-item-58</t>
  </si>
  <si>
    <t xml:space="preserve">L:II-JA
Rapunzel II s.p</t>
  </si>
  <si>
    <t xml:space="preserve">https://tierramadre.app/p/59</t>
  </si>
  <si>
    <t xml:space="preserve">https://tierramadre.app/product/59</t>
  </si>
  <si>
    <t xml:space="preserve">https://drive.google.com/drive/folders/1OkVNTPFzW0QoKHa9SseIOFfBqqKtKQeW</t>
  </si>
  <si>
    <t xml:space="preserve">2026-07-18-rapunzel-ii-s-p-item-59</t>
  </si>
  <si>
    <t xml:space="preserve">L:II-JA
Pocahontas II</t>
  </si>
  <si>
    <t xml:space="preserve">https://tierramadre.app/p/60</t>
  </si>
  <si>
    <t xml:space="preserve">https://tierramadre.app/product/60</t>
  </si>
  <si>
    <t xml:space="preserve">https://drive.google.com/drive/folders/1gm8ZZYqVTDf8cyxouw50XUTsShYWq3q3</t>
  </si>
  <si>
    <t xml:space="preserve">2026-07-18-pocahontas-ii-item-60</t>
  </si>
  <si>
    <t xml:space="preserve">L:II-JA
Princesa Azul</t>
  </si>
  <si>
    <t xml:space="preserve">https://tierramadre.app/p/61</t>
  </si>
  <si>
    <t xml:space="preserve">Mitchel Moreno Marin</t>
  </si>
  <si>
    <t xml:space="preserve">https://tierramadre.app/product/61</t>
  </si>
  <si>
    <t xml:space="preserve">https://drive.google.com/drive/folders/1NsvOFX5VfHoqa4KW4LrrVRd8U6K43NVi</t>
  </si>
  <si>
    <t xml:space="preserve">2026-07-18-princesa-azul-item-61</t>
  </si>
  <si>
    <t xml:space="preserve">Caja (snapshot) registra comprador 'Mitchel Moreno Marin' vs asesor actual 'Isa la Negra Vikinga Warrior Portocarrero' — revisar si son ventas distintas o la copia está desactualizada. · costo estimado = precio/2.6 (costo original igualaba al precio)</t>
  </si>
  <si>
    <t xml:space="preserve">L:II-JA
La Reina Margot</t>
  </si>
  <si>
    <t xml:space="preserve">https://tierramadre.app/p/62</t>
  </si>
  <si>
    <t xml:space="preserve">https://tierramadre.app/product/62</t>
  </si>
  <si>
    <t xml:space="preserve">https://drive.google.com/drive/folders/1b-bUsX_n_-bW6pE_oZyT4D1xIKXKQCtI</t>
  </si>
  <si>
    <t xml:space="preserve">2026-07-18-la-reina-margot-item-62</t>
  </si>
  <si>
    <t xml:space="preserve">L:II-JA
La Reina Isabell</t>
  </si>
  <si>
    <t xml:space="preserve">https://tierramadre.app/p/63</t>
  </si>
  <si>
    <t xml:space="preserve">https://tierramadre.app/product/63</t>
  </si>
  <si>
    <t xml:space="preserve">https://drive.google.com/drive/folders/1KdcYpT8nXZ0JPYTAlmQniQn35JLYJMJu</t>
  </si>
  <si>
    <t xml:space="preserve">2026-07-18-la-reina-isabell-item-63</t>
  </si>
  <si>
    <t xml:space="preserve">L:II-JA
Gota del Pacifico</t>
  </si>
  <si>
    <t xml:space="preserve">Anillo en Oro</t>
  </si>
  <si>
    <t xml:space="preserve">Retornado</t>
  </si>
  <si>
    <t xml:space="preserve">https://tierramadre.app/p/64</t>
  </si>
  <si>
    <t xml:space="preserve">RETORNADO</t>
  </si>
  <si>
    <t xml:space="preserve">https://tierramadre.app/product/64</t>
  </si>
  <si>
    <t xml:space="preserve">https://drive.google.com/drive/folders/1IF9RnKU3s95Dnh3YrRDBDiTRAQmQayMN</t>
  </si>
  <si>
    <t xml:space="preserve">2026-07-18-gota-del-pacifico-item-64</t>
  </si>
  <si>
    <t xml:space="preserve">L:II-JA
Raíz de Gaia</t>
  </si>
  <si>
    <t xml:space="preserve">https://tierramadre.app/p/65</t>
  </si>
  <si>
    <t xml:space="preserve">https://tierramadre.app/product/65</t>
  </si>
  <si>
    <t xml:space="preserve">https://drive.google.com/drive/folders/1WI5yPcIgb8TIUppJdGY3co_PBt8yRbjB</t>
  </si>
  <si>
    <t xml:space="preserve">2026-07-18-raiz-de-gaia-item-65</t>
  </si>
  <si>
    <t xml:space="preserve">L:A-23F
Espejo Sagrado</t>
  </si>
  <si>
    <t xml:space="preserve">4.2 × 5.1 mm</t>
  </si>
  <si>
    <t xml:space="preserve">https://tierramadre.app/p/66</t>
  </si>
  <si>
    <t xml:space="preserve">https://tierramadre.app/product/66</t>
  </si>
  <si>
    <t xml:space="preserve">https://drive.google.com/drive/folders/16ECdPjmUJwjenK4B0cjvj_fHI6keMnK1</t>
  </si>
  <si>
    <t xml:space="preserve">2026-07-18-espejo-sagrado-item-66</t>
  </si>
  <si>
    <t xml:space="preserve">L:A-23F
Hércules</t>
  </si>
  <si>
    <t xml:space="preserve">5.8 × 4.5 mm</t>
  </si>
  <si>
    <t xml:space="preserve">https://tierramadre.app/p/67</t>
  </si>
  <si>
    <t xml:space="preserve">https://tierramadre.app/product/67</t>
  </si>
  <si>
    <t xml:space="preserve">https://drive.google.com/drive/folders/1R3gRuekRJVfWqyNWTLYHCrLnPt6bS8SD</t>
  </si>
  <si>
    <t xml:space="preserve">2026-07-18-hercules-item-67</t>
  </si>
  <si>
    <t xml:space="preserve">L:A-23F
Adán y Eva</t>
  </si>
  <si>
    <t xml:space="preserve">4.4 × 5.0 mm</t>
  </si>
  <si>
    <t xml:space="preserve">https://tierramadre.app/p/68</t>
  </si>
  <si>
    <t xml:space="preserve">https://tierramadre.app/product/68</t>
  </si>
  <si>
    <t xml:space="preserve">https://drive.google.com/drive/folders/1A3aE4pv1DSNfbt7HPZ3IvFDltZLFMCfD</t>
  </si>
  <si>
    <t xml:space="preserve">2026-07-18-adan-y-eva-item-68</t>
  </si>
  <si>
    <t xml:space="preserve">L:A-105
Chispa Divina</t>
  </si>
  <si>
    <t xml:space="preserve">5.6 × 7.0 mm</t>
  </si>
  <si>
    <t xml:space="preserve">https://tierramadre.app/p/69</t>
  </si>
  <si>
    <t xml:space="preserve">https://tierramadre.app/product/69</t>
  </si>
  <si>
    <t xml:space="preserve">https://drive.google.com/drive/folders/1Gtl75Pe-hBS5rGzF5Nopv3FJl4Yyu25G</t>
  </si>
  <si>
    <t xml:space="preserve">2026-07-15-chispa-divina-item-69</t>
  </si>
  <si>
    <t xml:space="preserve">L:A-105
Apolo</t>
  </si>
  <si>
    <t xml:space="preserve">5.4 × 8.1 mm</t>
  </si>
  <si>
    <t xml:space="preserve">https://tierramadre.app/p/70</t>
  </si>
  <si>
    <t xml:space="preserve">https://tierramadre.app/product/70</t>
  </si>
  <si>
    <t xml:space="preserve">https://drive.google.com/drive/folders/1L_YfKwQiYXVfcThgHnc4z_5qOh32BVKO</t>
  </si>
  <si>
    <t xml:space="preserve">2026-07-15-apolo-item-70</t>
  </si>
  <si>
    <t xml:space="preserve">L:A-105
Firmamento</t>
  </si>
  <si>
    <t xml:space="preserve">4.2 × 6.2 mm</t>
  </si>
  <si>
    <t xml:space="preserve">https://tierramadre.app/p/71</t>
  </si>
  <si>
    <t xml:space="preserve">https://tierramadre.app/product/71</t>
  </si>
  <si>
    <t xml:space="preserve">https://drive.google.com/drive/folders/1DuCtKJmwoJTA_LAY6Kzd__hZZOsAMRFd</t>
  </si>
  <si>
    <t xml:space="preserve">2026-07-18-firmamento-item-71</t>
  </si>
  <si>
    <t xml:space="preserve">L:A-105
Troya</t>
  </si>
  <si>
    <t xml:space="preserve">5.2 × 7.3 mm</t>
  </si>
  <si>
    <t xml:space="preserve">https://tierramadre.app/p/72</t>
  </si>
  <si>
    <t xml:space="preserve">https://tierramadre.app/product/72</t>
  </si>
  <si>
    <t xml:space="preserve">https://drive.google.com/drive/folders/19KUtfuTEdk2Kni4fI1jqlZFIXr3FQZMT</t>
  </si>
  <si>
    <t xml:space="preserve">2026-07-15-troya-item-72</t>
  </si>
  <si>
    <t xml:space="preserve">L:A-105
Ventana al cielo</t>
  </si>
  <si>
    <t xml:space="preserve">4.7 × 5.8 mm</t>
  </si>
  <si>
    <t xml:space="preserve">https://tierramadre.app/p/73</t>
  </si>
  <si>
    <t xml:space="preserve">https://tierramadre.app/product/73</t>
  </si>
  <si>
    <t xml:space="preserve">https://drive.google.com/drive/folders/1P0aXu-Titkf1-oHW_x4tZGNx_YiCMeez</t>
  </si>
  <si>
    <t xml:space="preserve">2026-07-18-ventana-al-cielo-item-73</t>
  </si>
  <si>
    <t xml:space="preserve">L:A-105
Fuego</t>
  </si>
  <si>
    <t xml:space="preserve">4.7 × 6.1 mm</t>
  </si>
  <si>
    <t xml:space="preserve">https://tierramadre.app/p/74</t>
  </si>
  <si>
    <t xml:space="preserve">https://tierramadre.app/product/74</t>
  </si>
  <si>
    <t xml:space="preserve">https://drive.google.com/drive/folders/18wnpB7vVAqf07HdGJohp-CvzEI8HT6Yd</t>
  </si>
  <si>
    <t xml:space="preserve">2026-07-18-fuego-item-74</t>
  </si>
  <si>
    <t xml:space="preserve">24-nov-2025</t>
  </si>
  <si>
    <t xml:space="preserve">L:A-104
Aria</t>
  </si>
  <si>
    <t xml:space="preserve">4.8 × 3.9 mm</t>
  </si>
  <si>
    <t xml:space="preserve">https://tierramadre.app/p/75</t>
  </si>
  <si>
    <t xml:space="preserve">PRODUCCION</t>
  </si>
  <si>
    <t xml:space="preserve">https://tierramadre.app/product/75</t>
  </si>
  <si>
    <t xml:space="preserve">https://drive.google.com/drive/folders/1sx0ohUbliPkeeK-lAXu3WQWHgd40euCk</t>
  </si>
  <si>
    <t xml:space="preserve">2026-07-18-aria-item-75</t>
  </si>
  <si>
    <t xml:space="preserve">L:A-104
Ojos del
 Universo</t>
  </si>
  <si>
    <t xml:space="preserve">4.7 × 3.2 mm</t>
  </si>
  <si>
    <t xml:space="preserve">https://tierramadre.app/p/76</t>
  </si>
  <si>
    <t xml:space="preserve">C-050</t>
  </si>
  <si>
    <t xml:space="preserve">Gema Facetada</t>
  </si>
  <si>
    <t xml:space="preserve">https://tierramadre.app/product/76</t>
  </si>
  <si>
    <t xml:space="preserve">https://drive.google.com/drive/folders/1lYMKrxQkMjB85iTUUoV-ePDDj_WLQ6dm</t>
  </si>
  <si>
    <t xml:space="preserve">2026-07-10-ojos-del-universo-item-76</t>
  </si>
  <si>
    <t xml:space="preserve">Calidad difiere: legacy=Comercial Superior vs modeloPrecios=Fina esencial | Caja (snapshot) registra comprador 'Tierra Madre' vs asesor actual 'M.Campuzano' — revisar si son ventas distintas o la copia está desactualizada.</t>
  </si>
  <si>
    <t xml:space="preserve">L:A-104
Dos
 Pequitas</t>
  </si>
  <si>
    <t xml:space="preserve">4.3 × 3.2 mm</t>
  </si>
  <si>
    <t xml:space="preserve">https://tierramadre.app/p/77</t>
  </si>
  <si>
    <t xml:space="preserve">C-051</t>
  </si>
  <si>
    <t xml:space="preserve">https://tierramadre.app/product/77</t>
  </si>
  <si>
    <t xml:space="preserve">https://drive.google.com/drive/folders/10c8xFpiKVOgiAad2NNaCXisnHP4sq85H</t>
  </si>
  <si>
    <t xml:space="preserve">2026-07-10-dos-pequitas-item-77</t>
  </si>
  <si>
    <t xml:space="preserve">Calidad difiere: legacy=Comercial Fina vs modeloPrecios=C. Superior | Caja (snapshot) registra comprador 'Tierra Madre' vs asesor actual 'M.Campuzano' — revisar si son ventas distintas o la copia está desactualizada.</t>
  </si>
  <si>
    <t xml:space="preserve">L:A-104
Cleopatra</t>
  </si>
  <si>
    <t xml:space="preserve">3.8 × 4.7 mm</t>
  </si>
  <si>
    <t xml:space="preserve">https://tierramadre.app/p/78</t>
  </si>
  <si>
    <t xml:space="preserve">https://tierramadre.app/product/78</t>
  </si>
  <si>
    <t xml:space="preserve">https://drive.google.com/drive/folders/1mn1TtmDp2c-PJesTEAvMiF1YpSYiwZHm</t>
  </si>
  <si>
    <t xml:space="preserve">2026-07-18-cleopatra-item-78</t>
  </si>
  <si>
    <t xml:space="preserve">L:A-104
Ojo de Afrodita</t>
  </si>
  <si>
    <t xml:space="preserve">4.5 × 5.5 mm</t>
  </si>
  <si>
    <t xml:space="preserve">https://tierramadre.app/p/79</t>
  </si>
  <si>
    <t xml:space="preserve">https://tierramadre.app/product/79</t>
  </si>
  <si>
    <t xml:space="preserve">https://drive.google.com/drive/folders/1CF9sC4eS6i44wgl9CwNTB8LW74FPzI7D</t>
  </si>
  <si>
    <t xml:space="preserve">2026-07-18-ojo-de-afrodita-item-79</t>
  </si>
  <si>
    <t xml:space="preserve">L:A-104
Grecia</t>
  </si>
  <si>
    <t xml:space="preserve">6.2 × 4.8 mm</t>
  </si>
  <si>
    <t xml:space="preserve">https://tierramadre.app/p/80</t>
  </si>
  <si>
    <t xml:space="preserve">C-053</t>
  </si>
  <si>
    <t xml:space="preserve">https://tierramadre.app/product/80</t>
  </si>
  <si>
    <t xml:space="preserve">https://drive.google.com/drive/folders/1fN4g_gZX_vwsq3zshJozHnuUvhhqB4vf</t>
  </si>
  <si>
    <t xml:space="preserve">2026-07-10-grecia-item-80</t>
  </si>
  <si>
    <t xml:space="preserve">Calidad difiere: legacy=COMERCIAL SUPERIOR vs modeloPrecios=C. Estándar | Caja (snapshot) registra comprador 'Tierra Madre' vs asesor actual 'M.Campuzano' — revisar si son ventas distintas o la copia está desactualizada.</t>
  </si>
  <si>
    <t xml:space="preserve">L:A-104
Lalala</t>
  </si>
  <si>
    <t xml:space="preserve">5.1 × 8.0 mm</t>
  </si>
  <si>
    <t xml:space="preserve">https://tierramadre.app/p/81</t>
  </si>
  <si>
    <t xml:space="preserve">En Aporte
  Actividad 
campamento</t>
  </si>
  <si>
    <t xml:space="preserve">https://tierramadre.app/product/81</t>
  </si>
  <si>
    <t xml:space="preserve">https://drive.google.com/drive/folders/1fZDKeCj6H2CV33cwdKxgc-5DqB12UlYX</t>
  </si>
  <si>
    <t xml:space="preserve">2026-07-18-l-a-104-lalala-item-81</t>
  </si>
  <si>
    <t xml:space="preserve">Caja (snapshot) registra comprador 'Tierra Madre' vs asesor actual 'Isa la Negra Vikinga Warrior Portocarrero' — revisar si son ventas distintas o la copia está desactualizada.</t>
  </si>
  <si>
    <t xml:space="preserve">La Diva</t>
  </si>
  <si>
    <t xml:space="preserve">35 mm</t>
  </si>
  <si>
    <t xml:space="preserve">https://tierramadre.app/p/82</t>
  </si>
  <si>
    <t xml:space="preserve">https://tierramadre.app/product/82</t>
  </si>
  <si>
    <t xml:space="preserve">https://drive.google.com/drive/folders/1xovP-m98wkPYrMrzecIKey8vQhNcJ3xd</t>
  </si>
  <si>
    <t xml:space="preserve">2026-07-18-la-diva-item-82</t>
  </si>
  <si>
    <t xml:space="preserve">Dos 
Luceritos</t>
  </si>
  <si>
    <t xml:space="preserve">27 mm</t>
  </si>
  <si>
    <t xml:space="preserve">https://tierramadre.app/p/83</t>
  </si>
  <si>
    <t xml:space="preserve">https://tierramadre.app/product/83</t>
  </si>
  <si>
    <t xml:space="preserve">https://drive.google.com/drive/folders/1ltHSxwZsYrpy69sA_NHG0Q-oZlnO9GiV</t>
  </si>
  <si>
    <t xml:space="preserve">2026-07-18-dos-luceritos-item-83</t>
  </si>
  <si>
    <t xml:space="preserve">Instante
 Perfecto</t>
  </si>
  <si>
    <t xml:space="preserve">3.3 mm</t>
  </si>
  <si>
    <t xml:space="preserve">https://tierramadre.app/p/84</t>
  </si>
  <si>
    <t xml:space="preserve">https://tierramadre.app/product/84</t>
  </si>
  <si>
    <t xml:space="preserve">https://drive.google.com/drive/folders/1bpldswg2AQgcXcelcLENFGmQu14vLirT</t>
  </si>
  <si>
    <t xml:space="preserve">2026-07-18-instante-perfecto-item-84</t>
  </si>
  <si>
    <t xml:space="preserve">Viento 
del Pacifico</t>
  </si>
  <si>
    <t xml:space="preserve">4.1 mm</t>
  </si>
  <si>
    <t xml:space="preserve">https://tierramadre.app/p/85</t>
  </si>
  <si>
    <t xml:space="preserve">https://tierramadre.app/product/85</t>
  </si>
  <si>
    <t xml:space="preserve">https://drive.google.com/drive/folders/1xhyrTI866_-nQxYhKxaGsrL6mqYi8ODz</t>
  </si>
  <si>
    <t xml:space="preserve">2026-07-18-viento-del-pacifico-item-85</t>
  </si>
  <si>
    <t xml:space="preserve">08-dic-2025</t>
  </si>
  <si>
    <t xml:space="preserve">Estrellas 
del Amanecer</t>
  </si>
  <si>
    <t xml:space="preserve">https://tierramadre.app/p/86</t>
  </si>
  <si>
    <t xml:space="preserve">Secretos del Bosque</t>
  </si>
  <si>
    <t xml:space="preserve">https://tierramadre.app/product/86</t>
  </si>
  <si>
    <t xml:space="preserve">https://drive.google.com/drive/folders/1LJOAVAR6Pa_iIpz0Lpzo7w1iG4-wY0yh</t>
  </si>
  <si>
    <t xml:space="preserve">2026-07-18-estrellas-del-amanecer-item-86</t>
  </si>
  <si>
    <t xml:space="preserve">Hermanas 
de la luna</t>
  </si>
  <si>
    <t xml:space="preserve">6 mm</t>
  </si>
  <si>
    <t xml:space="preserve">Alvaro Pelaez</t>
  </si>
  <si>
    <t xml:space="preserve">https://tierramadre.app/p/87</t>
  </si>
  <si>
    <t xml:space="preserve">https://tierramadre.app/product/87</t>
  </si>
  <si>
    <t xml:space="preserve">https://drive.google.com/drive/folders/1ySmcjonlfQjzrQi2NnOBbx8D-sXIz2R_</t>
  </si>
  <si>
    <t xml:space="preserve">2026-07-18-hermanas-de-la-luna-item-87</t>
  </si>
  <si>
    <t xml:space="preserve">Legacy + Fotosintesis/Convex + Ventas + CajaInventario</t>
  </si>
  <si>
    <t xml:space="preserve">Misterio 
Profundo</t>
  </si>
  <si>
    <t xml:space="preserve">9.5 × 7.2 × 5.1 mm</t>
  </si>
  <si>
    <t xml:space="preserve">https://tierramadre.app/p/88</t>
  </si>
  <si>
    <t xml:space="preserve">C-044</t>
  </si>
  <si>
    <t xml:space="preserve">https://tierramadre.app/product/88</t>
  </si>
  <si>
    <t xml:space="preserve">https://drive.google.com/drive/folders/1_sXi1AcPSxRu45xUVuPK_IgoqjT1_W0N</t>
  </si>
  <si>
    <t xml:space="preserve">2026-07-13-misterio-profundo-item-88</t>
  </si>
  <si>
    <t xml:space="preserve">peso ct recuperado de serial Excel · Calidad difiere: legacy=Comercial Fina vs modeloPrecios=C. Fina | Caja (snapshot) registra comprador 'Tierra Madre' vs asesor actual 'M.Campuzano' — revisar si son ventas distintas o la copia está desactualizada. · revisar: costo &lt;&lt; precio (posible error de escala ×1000)</t>
  </si>
  <si>
    <t xml:space="preserve">Hadas  
del Bosque</t>
  </si>
  <si>
    <t xml:space="preserve">5.2 -3.2 5.0-3.4 mm</t>
  </si>
  <si>
    <t xml:space="preserve">https://tierramadre.app/p/89</t>
  </si>
  <si>
    <t xml:space="preserve">C-046</t>
  </si>
  <si>
    <t xml:space="preserve">https://tierramadre.app/product/89</t>
  </si>
  <si>
    <t xml:space="preserve">https://drive.google.com/drive/folders/15u_SMCSkcmpEIXmljw7dLaA5imYXecKp</t>
  </si>
  <si>
    <t xml:space="preserve">2026-07-18-hadas-del-bosque-item-89</t>
  </si>
  <si>
    <t xml:space="preserve">Calidad difiere: legacy=Comercial Fina vs modeloPrecios=C. Super Fina | Caja (snapshot) registra comprador 'Tierra Madre' vs asesor actual 'M.Campuzano' — revisar si son ventas distintas o la copia está desactualizada.</t>
  </si>
  <si>
    <t xml:space="preserve">Quinto 
Elemento</t>
  </si>
  <si>
    <t xml:space="preserve">FINA SUBLIME</t>
  </si>
  <si>
    <t xml:space="preserve">Baguette</t>
  </si>
  <si>
    <t xml:space="preserve">https://tierramadre.app/p/90</t>
  </si>
  <si>
    <t xml:space="preserve">https://tierramadre.app/product/90</t>
  </si>
  <si>
    <t xml:space="preserve">https://drive.google.com/drive/folders/19vFhLC4i6NPztkyaomjvA9EFZRC0NPy8</t>
  </si>
  <si>
    <t xml:space="preserve">2026-07-18-quinto-elemento-item-90</t>
  </si>
  <si>
    <t xml:space="preserve">Viento
Nocturno</t>
  </si>
  <si>
    <t xml:space="preserve">9.5 × 5.4 × 3.8 mm</t>
  </si>
  <si>
    <t xml:space="preserve">https://tierramadre.app/p/91</t>
  </si>
  <si>
    <t xml:space="preserve">C-060</t>
  </si>
  <si>
    <t xml:space="preserve">https://tierramadre.app/product/91</t>
  </si>
  <si>
    <t xml:space="preserve">https://drive.google.com/drive/folders/1ptbNaCnhb3s5wLBUuCMuTB86OKZDCqJd</t>
  </si>
  <si>
    <t xml:space="preserve">2026-07-13-viento-nocturno-item-91</t>
  </si>
  <si>
    <t xml:space="preserve">Calidad difiere: legacy=Comercial Superior vs modeloPrecios=Rareza</t>
  </si>
  <si>
    <t xml:space="preserve">Corazón de la
 noche</t>
  </si>
  <si>
    <t xml:space="preserve">6.5 × 8.0 × 4.5 mm</t>
  </si>
  <si>
    <t xml:space="preserve">https://tierramadre.app/p/92</t>
  </si>
  <si>
    <t xml:space="preserve">Esmereogenesis</t>
  </si>
  <si>
    <t xml:space="preserve">https://tierramadre.app/product/92</t>
  </si>
  <si>
    <t xml:space="preserve">https://drive.google.com/drive/folders/1yF1MwteXvTmdoqRQp170D6UFdMKxCV-h</t>
  </si>
  <si>
    <t xml:space="preserve">2026-07-15-corazon-de-la-noche-item-92</t>
  </si>
  <si>
    <t xml:space="preserve">Julieta</t>
  </si>
  <si>
    <t xml:space="preserve">7.4 × 5.5 mm</t>
  </si>
  <si>
    <t xml:space="preserve">https://tierramadre.app/p/93</t>
  </si>
  <si>
    <t xml:space="preserve">C-045</t>
  </si>
  <si>
    <t xml:space="preserve">https://tierramadre.app/product/93</t>
  </si>
  <si>
    <t xml:space="preserve">https://drive.google.com/drive/folders/13q8tV1Udx1FsCg6Ylx7gCZt4fm7iqvIe</t>
  </si>
  <si>
    <t xml:space="preserve">2026-07-15-modelo-item-93-dos-luciernagas</t>
  </si>
  <si>
    <t xml:space="preserve">Calidad difiere: legacy=COMERCIAL FINA vs modeloPrecios=C. Fina</t>
  </si>
  <si>
    <t xml:space="preserve">L:A-26B
Esencia 
del Bosque</t>
  </si>
  <si>
    <t xml:space="preserve">7.5 × 6.6 × 3.7 mm</t>
  </si>
  <si>
    <t xml:space="preserve">ESMEREOGENESIS</t>
  </si>
  <si>
    <t xml:space="preserve">https://tierramadre.app/p/94</t>
  </si>
  <si>
    <t xml:space="preserve">CARTERA
Claudia Altamirano</t>
  </si>
  <si>
    <t xml:space="preserve">https://tierramadre.app/product/94</t>
  </si>
  <si>
    <t xml:space="preserve">https://drive.google.com/drive/folders/1BuX9AhCd11lZ-BqroqZa0kHxkwZWjP87</t>
  </si>
  <si>
    <t xml:space="preserve">2026-07-18-l-a-26b-esencia-del-bosque-item-94</t>
  </si>
  <si>
    <t xml:space="preserve">Magia Estelar</t>
  </si>
  <si>
    <t xml:space="preserve">38 mm</t>
  </si>
  <si>
    <t xml:space="preserve">https://tierramadre.app/p/95</t>
  </si>
  <si>
    <t xml:space="preserve">https://tierramadre.app/product/95</t>
  </si>
  <si>
    <t xml:space="preserve">https://drive.google.com/drive/folders/1ODNpsemdS7DqQ42P3REFcItJCTxBNfGf</t>
  </si>
  <si>
    <t xml:space="preserve">2026-07-18-magia-estelar-item-95</t>
  </si>
  <si>
    <t xml:space="preserve">Caja 
de Pandora</t>
  </si>
  <si>
    <t xml:space="preserve">Verde Azul</t>
  </si>
  <si>
    <t xml:space="preserve">40 mm</t>
  </si>
  <si>
    <t xml:space="preserve">https://tierramadre.app/p/96</t>
  </si>
  <si>
    <t xml:space="preserve">https://tierramadre.app/product/96</t>
  </si>
  <si>
    <t xml:space="preserve">https://drive.google.com/drive/folders/1D3MaOpwHfh1MSnlQbVi0QxFMWm1SQEKb</t>
  </si>
  <si>
    <t xml:space="preserve">2026-07-18-caja-de-pandora-item-96</t>
  </si>
  <si>
    <t xml:space="preserve">Almas 
Gemelas</t>
  </si>
  <si>
    <t xml:space="preserve">4.6 × 4.4 mm</t>
  </si>
  <si>
    <t xml:space="preserve">https://tierramadre.app/p/97</t>
  </si>
  <si>
    <t xml:space="preserve">https://tierramadre.app/product/97</t>
  </si>
  <si>
    <t xml:space="preserve">https://drive.google.com/drive/folders/1vX5FaSfLZzSvij5gEmuZXoywtV8H9QFx</t>
  </si>
  <si>
    <t xml:space="preserve">2026-07-13-almas-gemelas-item-97</t>
  </si>
  <si>
    <t xml:space="preserve">Calidad difiere: legacy=COMERCIAL FINA vs modeloPrecios=C. Fina | Caja (snapshot) registra comprador 'Tierra Madre' vs asesor actual 'M.Campuzano' — revisar si son ventas distintas o la copia está desactualizada.</t>
  </si>
  <si>
    <t xml:space="preserve">Campanita</t>
  </si>
  <si>
    <t xml:space="preserve">2.7 × 3.8 × 2.3 mm</t>
  </si>
  <si>
    <t xml:space="preserve">https://tierramadre.app/p/98</t>
  </si>
  <si>
    <t xml:space="preserve">https://tierramadre.app/product/98</t>
  </si>
  <si>
    <t xml:space="preserve">https://drive.google.com/drive/folders/17rwcGQ4txDDMm8GzR9taH2bBHWHymm2k</t>
  </si>
  <si>
    <t xml:space="preserve">2026-07-18-campanita-item-98</t>
  </si>
  <si>
    <t xml:space="preserve">Reflejo Divino</t>
  </si>
  <si>
    <t xml:space="preserve">5.6 × 3.6 × 2.9 mm</t>
  </si>
  <si>
    <t xml:space="preserve">https://tierramadre.app/p/99</t>
  </si>
  <si>
    <t xml:space="preserve">https://tierramadre.app/product/99</t>
  </si>
  <si>
    <t xml:space="preserve">https://drive.google.com/drive/folders/1FFxB62Ue-8qyD_nfpKmFFeBdTqtBp8NV</t>
  </si>
  <si>
    <t xml:space="preserve">2026-07-18-reflejo-divino-item-99</t>
  </si>
  <si>
    <t xml:space="preserve">Eterna Gratitud</t>
  </si>
  <si>
    <t xml:space="preserve">7.4 × 3.4 × 3.0 mm</t>
  </si>
  <si>
    <t xml:space="preserve">https://tierramadre.app/p/100</t>
  </si>
  <si>
    <t xml:space="preserve">https://tierramadre.app/product/100</t>
  </si>
  <si>
    <t xml:space="preserve">https://drive.google.com/drive/folders/19PpRJftVMTwomMLUjaaO-xjSSo_72kAv</t>
  </si>
  <si>
    <t xml:space="preserve">2026-07-13-eterna-gratitud-item-100</t>
  </si>
  <si>
    <t xml:space="preserve">Calidad difiere: legacy=Comercial Superfina vs modeloPrecios=C. Super Fina | Caja (snapshot) registra comprador 'Tierra Madre' vs asesor actual 'M.Campuzano' — revisar si son ventas distintas o la copia está desactualizada.</t>
  </si>
  <si>
    <t xml:space="preserve">Lluvia Sagrada</t>
  </si>
  <si>
    <t xml:space="preserve">8.4 × 5.4 × 4.1 mm</t>
  </si>
  <si>
    <t xml:space="preserve">https://tierramadre.app/p/101</t>
  </si>
  <si>
    <t xml:space="preserve">En pago x  trabajo 
(FOCO)</t>
  </si>
  <si>
    <t xml:space="preserve">https://tierramadre.app/product/101</t>
  </si>
  <si>
    <t xml:space="preserve">https://drive.google.com/drive/folders/1ltWjewC2f4_GWjnrdITt06tV0KtmLXd8</t>
  </si>
  <si>
    <t xml:space="preserve">2026-07-18-lluvia-sagrada-item-101</t>
  </si>
  <si>
    <t xml:space="preserve">peso ct recuperado de serial Excel</t>
  </si>
  <si>
    <t xml:space="preserve">L:A-101-4
Rocío Celestial</t>
  </si>
  <si>
    <t xml:space="preserve">FINA</t>
  </si>
  <si>
    <t xml:space="preserve">4.1 × 3.2 × 2.5 mm</t>
  </si>
  <si>
    <t xml:space="preserve">https://tierramadre.app/p/102</t>
  </si>
  <si>
    <t xml:space="preserve">https://tierramadre.app/product/102</t>
  </si>
  <si>
    <t xml:space="preserve">https://drive.google.com/drive/folders/1yCIvJGVIhYdVFIkPFFNW1HtWyxkQEbc_</t>
  </si>
  <si>
    <t xml:space="preserve">2026-07-18-l-a-101-4-rocio-celestial-item-102</t>
  </si>
  <si>
    <t xml:space="preserve">Lote:
Suspiro de
 Jaguar</t>
  </si>
  <si>
    <t xml:space="preserve">https://tierramadre.app/p/103</t>
  </si>
  <si>
    <t xml:space="preserve">Setranforman 
a Piezas 
indivuduales</t>
  </si>
  <si>
    <t xml:space="preserve">https://tierramadre.app/product/103</t>
  </si>
  <si>
    <t xml:space="preserve">https://drive.google.com/drive/folders/1Yv2NXEy0srAH43ep9NnjDuOIZIBLP-NL</t>
  </si>
  <si>
    <t xml:space="preserve">2026-07-18-lote-suspiro-de-jaguar-item-103</t>
  </si>
  <si>
    <t xml:space="preserve">Caja (snapshot) registra comprador 'Tierra Madre' vs asesor actual 'Juan Manuel Escobar Ramirez' — revisar si son ventas distintas o la copia está desactualizada.</t>
  </si>
  <si>
    <t xml:space="preserve">Lote:
Reflejos 
de la Selva</t>
  </si>
  <si>
    <t xml:space="preserve">https://tierramadre.app/p/104</t>
  </si>
  <si>
    <t xml:space="preserve">https://tierramadre.app/product/104</t>
  </si>
  <si>
    <t xml:space="preserve">https://drive.google.com/drive/folders/1r7A84PBgaY45IY57T-o5Ttvb4Q21BKvp</t>
  </si>
  <si>
    <t xml:space="preserve">2026-07-18-lote-reflejos-de-la-selva-item-104</t>
  </si>
  <si>
    <t xml:space="preserve">Lote:
Lote 333</t>
  </si>
  <si>
    <t xml:space="preserve">https://tierramadre.app/p/105</t>
  </si>
  <si>
    <t xml:space="preserve">https://tierramadre.app/product/105</t>
  </si>
  <si>
    <t xml:space="preserve">https://drive.google.com/drive/folders/1i46zIuCZejemq2pCauZ6YSoT7pbraCAy</t>
  </si>
  <si>
    <t xml:space="preserve">2026-07-18-lote-lote-333-item-105</t>
  </si>
  <si>
    <t xml:space="preserve">Lote:
Bendita 
Revelación</t>
  </si>
  <si>
    <t xml:space="preserve">Varias</t>
  </si>
  <si>
    <t xml:space="preserve">https://tierramadre.app/p/106</t>
  </si>
  <si>
    <t xml:space="preserve">https://tierramadre.app/product/106</t>
  </si>
  <si>
    <t xml:space="preserve">https://drive.google.com/drive/folders/1rtF3pbWc727Shmj79JsX0dHa3IqNp78l</t>
  </si>
  <si>
    <t xml:space="preserve">2026-07-18-lote-bendita-revelacion-item-106</t>
  </si>
  <si>
    <t xml:space="preserve">Caja (snapshot) registra comprador 'Tierra Madre' vs asesor actual 'M.Campuzano' — revisar si son ventas distintas o la copia está desactualizada.</t>
  </si>
  <si>
    <t xml:space="preserve">Lote:
Trinidad</t>
  </si>
  <si>
    <t xml:space="preserve">https://tierramadre.app/p/107</t>
  </si>
  <si>
    <t xml:space="preserve">https://tierramadre.app/product/107</t>
  </si>
  <si>
    <t xml:space="preserve">https://drive.google.com/drive/folders/1WKRs7IYszxAQr_zQUst9axsT1dk3duXK</t>
  </si>
  <si>
    <t xml:space="preserve">2026-07-18-lote-trinidad-item-107</t>
  </si>
  <si>
    <t xml:space="preserve">Caja (snapshot) registra comprador 'Tierra Madre' vs asesor actual 'M.Echeverry' — revisar si son ventas distintas o la copia está desactualizada.</t>
  </si>
  <si>
    <t xml:space="preserve">Lote:
Constelación</t>
  </si>
  <si>
    <t xml:space="preserve">https://tierramadre.app/p/108</t>
  </si>
  <si>
    <t xml:space="preserve">https://tierramadre.app/product/108</t>
  </si>
  <si>
    <t xml:space="preserve">https://drive.google.com/drive/folders/1CEwMGf_QnpGp4SIfSR0jBDmOjo4Z9mUJ</t>
  </si>
  <si>
    <t xml:space="preserve">2026-07-18-lote-constelacion-item-108</t>
  </si>
  <si>
    <t xml:space="preserve">Lote:
Espectro 
de la Noche</t>
  </si>
  <si>
    <t xml:space="preserve">https://tierramadre.app/p/109</t>
  </si>
  <si>
    <t xml:space="preserve">https://tierramadre.app/product/109</t>
  </si>
  <si>
    <t xml:space="preserve">https://drive.google.com/drive/folders/10a-fA8no0g8v3W5mrOPDCVOck4aKJaqE</t>
  </si>
  <si>
    <t xml:space="preserve">2026-07-18-lote-espectro-de-la-noche-item-109</t>
  </si>
  <si>
    <t xml:space="preserve">Lote: 
Familia
 Real</t>
  </si>
  <si>
    <t xml:space="preserve">https://tierramadre.app/p/110</t>
  </si>
  <si>
    <t xml:space="preserve">https://tierramadre.app/product/110</t>
  </si>
  <si>
    <t xml:space="preserve">https://drive.google.com/drive/folders/1hQzsmvmBzmBdGsN2tkZg8jT8E-75_EfJ</t>
  </si>
  <si>
    <t xml:space="preserve">2026-07-18-lote-familia-real-item-110</t>
  </si>
  <si>
    <t xml:space="preserve">Lote:
Tesoro 
Celestial</t>
  </si>
  <si>
    <t xml:space="preserve">OFI.BOGOTA</t>
  </si>
  <si>
    <t xml:space="preserve">Sebastian Pion</t>
  </si>
  <si>
    <t xml:space="preserve">https://tierramadre.app/p/111</t>
  </si>
  <si>
    <t xml:space="preserve">Adoptada 
PTE
Devolucion</t>
  </si>
  <si>
    <t xml:space="preserve">https://tierramadre.app/product/111</t>
  </si>
  <si>
    <t xml:space="preserve">https://drive.google.com/drive/folders/1T7n-GFaz2fIcoSVi1sYAF1KMHcEWzl6p</t>
  </si>
  <si>
    <t xml:space="preserve">2026-07-18-lote-tesoro-celestial-item-111</t>
  </si>
  <si>
    <t xml:space="preserve">L:III-JA
Reina Victoria</t>
  </si>
  <si>
    <t xml:space="preserve">DISPONIBLE ADOPTADA</t>
  </si>
  <si>
    <t xml:space="preserve">https://tierramadre.app/p/112</t>
  </si>
  <si>
    <t xml:space="preserve">Reinas</t>
  </si>
  <si>
    <t xml:space="preserve">En  Forma de  Pago 
Sebastian Muñoz</t>
  </si>
  <si>
    <t xml:space="preserve">https://tierramadre.app/product/112</t>
  </si>
  <si>
    <t xml:space="preserve">https://drive.google.com/drive/folders/1yHtn3c24rroBOvBdtqtbldJSdcYcrZWT</t>
  </si>
  <si>
    <t xml:space="preserve">2026-07-18-l-iii-ja-reina-victoria-item-112</t>
  </si>
  <si>
    <t xml:space="preserve">12-dic-2025</t>
  </si>
  <si>
    <t xml:space="preserve">L:III-JA
 Reina Cleopatra</t>
  </si>
  <si>
    <t xml:space="preserve">https://tierramadre.app/p/113</t>
  </si>
  <si>
    <t xml:space="preserve">https://tierramadre.app/product/113</t>
  </si>
  <si>
    <t xml:space="preserve">https://drive.google.com/drive/folders/1PuuI7h0Z4kFQ3AsJQN4-5DCuhTOjrakL</t>
  </si>
  <si>
    <t xml:space="preserve">2026-07-18-l-iii-ja-reina-cleopatra-item-113</t>
  </si>
  <si>
    <t xml:space="preserve">Caja (snapshot) registra comprador 'M.Ruiz' vs asesor actual 'M.Echeverry' — revisar si son ventas distintas o la copia está desactualizada.</t>
  </si>
  <si>
    <t xml:space="preserve">L:III-JA
Reina Carlota</t>
  </si>
  <si>
    <t xml:space="preserve">https://tierramadre.app/p/114</t>
  </si>
  <si>
    <t xml:space="preserve">https://tierramadre.app/product/114</t>
  </si>
  <si>
    <t xml:space="preserve">https://drive.google.com/drive/folders/1dxaGqjDmoWdiui8VYsUL3yQGorELeevw</t>
  </si>
  <si>
    <t xml:space="preserve">2026-07-18-l-iii-ja-reina-carlota-item-114</t>
  </si>
  <si>
    <t xml:space="preserve">Caja (snapshot) registra comprador 'M.Campuzano' vs asesor actual 'Isa la Negra Vikinga Warrior Portocarrero' — revisar si son ventas distintas o la copia está desactualizada.</t>
  </si>
  <si>
    <t xml:space="preserve">L:III-JA
Infinito Amor</t>
  </si>
  <si>
    <t xml:space="preserve">https://tierramadre.app/p/115</t>
  </si>
  <si>
    <t xml:space="preserve">C-043</t>
  </si>
  <si>
    <t xml:space="preserve">https://tierramadre.app/product/115</t>
  </si>
  <si>
    <t xml:space="preserve">https://drive.google.com/drive/folders/1xpQb5PRvwcyENz_SzlvLUGWu49VSPpdx</t>
  </si>
  <si>
    <t xml:space="preserve">2026-07-13-infinito-amor-item-115</t>
  </si>
  <si>
    <t xml:space="preserve">L:III-JA
 Duquesa Leonor</t>
  </si>
  <si>
    <t xml:space="preserve">https://tierramadre.app/p/116</t>
  </si>
  <si>
    <t xml:space="preserve">En abona a  cuenta 
del $12M ( M.Ruiz)</t>
  </si>
  <si>
    <t xml:space="preserve">https://tierramadre.app/product/116</t>
  </si>
  <si>
    <t xml:space="preserve">https://drive.google.com/drive/folders/1MovIopDg7GOjB9znSdYr4GfndOzpcMD0</t>
  </si>
  <si>
    <t xml:space="preserve">2026-07-18-l-iii-ja-duquesa-leonor-item-116</t>
  </si>
  <si>
    <t xml:space="preserve">Caja (snapshot) registra comprador 'Isa la Negra Vikinga Warrior Portocarrero' vs asesor actual 'M.Ruiz' — revisar si son ventas distintas o la copia está desactualizada.</t>
  </si>
  <si>
    <t xml:space="preserve">L:III-JA
 Faraona Nefertiti</t>
  </si>
  <si>
    <t xml:space="preserve">https://tierramadre.app/p/117</t>
  </si>
  <si>
    <t xml:space="preserve">https://tierramadre.app/product/117</t>
  </si>
  <si>
    <t xml:space="preserve">https://drive.google.com/drive/folders/1za3J38ULeq8H5F7mfSPSO3zWKnQvrf5Z</t>
  </si>
  <si>
    <t xml:space="preserve">2026-07-18-l-iii-ja-faraona-nefertiti-item-117</t>
  </si>
  <si>
    <t xml:space="preserve">L:A
Sara Connor</t>
  </si>
  <si>
    <t xml:space="preserve">https://tierramadre.app/p/118</t>
  </si>
  <si>
    <t xml:space="preserve">https://tierramadre.app/product/118</t>
  </si>
  <si>
    <t xml:space="preserve">https://drive.google.com/drive/folders/1kesf_1KULxPr0Eo3dcM5OeAOt6jKcdU9</t>
  </si>
  <si>
    <t xml:space="preserve">2026-07-18-l-a-sara-connor-item-118</t>
  </si>
  <si>
    <t xml:space="preserve">Caja (snapshot) registra comprador 'M.Ruiz' vs asesor actual 'Isa la Negra Vikinga Warrior Portocarrero' — revisar si son ventas distintas o la copia está desactualizada. · costo estimado = precio/2.6 (costo original igualaba al precio)</t>
  </si>
  <si>
    <t xml:space="preserve">L:A
Arya Stark</t>
  </si>
  <si>
    <t xml:space="preserve">https://tierramadre.app/p/119</t>
  </si>
  <si>
    <t xml:space="preserve">https://tierramadre.app/product/119</t>
  </si>
  <si>
    <t xml:space="preserve">https://drive.google.com/drive/folders/1qUCkRJeyJJ5n6rqcW1mbSUCnZwov23Oz</t>
  </si>
  <si>
    <t xml:space="preserve">2026-07-18-l-a-arya-stark-item-119</t>
  </si>
  <si>
    <t xml:space="preserve">L:A
Jessica Jones</t>
  </si>
  <si>
    <t xml:space="preserve">https://tierramadre.app/p/120</t>
  </si>
  <si>
    <t xml:space="preserve">https://tierramadre.app/product/120</t>
  </si>
  <si>
    <t xml:space="preserve">https://drive.google.com/drive/folders/1LRnJIXPZQihk56wYWrF6CFVjtPoVbg13</t>
  </si>
  <si>
    <t xml:space="preserve">2026-07-18-l-a-jessica-jones-item-120</t>
  </si>
  <si>
    <t xml:space="preserve">L:A
Claris Starlin</t>
  </si>
  <si>
    <t xml:space="preserve">https://tierramadre.app/p/121</t>
  </si>
  <si>
    <t xml:space="preserve">https://tierramadre.app/product/121</t>
  </si>
  <si>
    <t xml:space="preserve">https://drive.google.com/drive/folders/15kIJKwDQFl2hY77nsH-mMY8rQSEEPD65</t>
  </si>
  <si>
    <t xml:space="preserve">2026-07-18-l-a-claris-starlin-item-121</t>
  </si>
  <si>
    <t xml:space="preserve">L:A
Amy Dunne</t>
  </si>
  <si>
    <t xml:space="preserve">https://tierramadre.app/p/122</t>
  </si>
  <si>
    <t xml:space="preserve">https://tierramadre.app/product/122</t>
  </si>
  <si>
    <t xml:space="preserve">https://drive.google.com/drive/folders/19Fd5cybph1cTCB80JyyJaSikXjyPPwUq</t>
  </si>
  <si>
    <t xml:space="preserve">2026-07-18-l-a-amy-dunne-item-122</t>
  </si>
  <si>
    <t xml:space="preserve">L:A
Hermione</t>
  </si>
  <si>
    <t xml:space="preserve">https://tierramadre.app/p/123</t>
  </si>
  <si>
    <t xml:space="preserve">https://tierramadre.app/product/123</t>
  </si>
  <si>
    <t xml:space="preserve">https://drive.google.com/drive/folders/1-1g6BlDVhQu4jI4W0Vbg8OeRbGUNFhJ4</t>
  </si>
  <si>
    <t xml:space="preserve">2026-07-18-l-a-hermione-item-123</t>
  </si>
  <si>
    <t xml:space="preserve">L:A
Miranda</t>
  </si>
  <si>
    <t xml:space="preserve">https://tierramadre.app/p/124</t>
  </si>
  <si>
    <t xml:space="preserve">https://tierramadre.app/product/124</t>
  </si>
  <si>
    <t xml:space="preserve">https://drive.google.com/drive/folders/1vvBsmwgkK2N_bYgXWAqhqomkMMV1z4jS</t>
  </si>
  <si>
    <t xml:space="preserve">2026-07-18-l-a-miranda-item-124</t>
  </si>
  <si>
    <t xml:space="preserve">L:III-JT
Mariposas 
De la Montaña</t>
  </si>
  <si>
    <t xml:space="preserve">https://tierramadre.app/p/125</t>
  </si>
  <si>
    <t xml:space="preserve">Mariposas de la Montaña</t>
  </si>
  <si>
    <t xml:space="preserve">En  Prenda
Ana Maria Pelaez</t>
  </si>
  <si>
    <t xml:space="preserve">https://tierramadre.app/product/125</t>
  </si>
  <si>
    <t xml:space="preserve">https://drive.google.com/drive/folders/1rjjwI8P_RRE1lDw9IGKHwNu4esNl-a58</t>
  </si>
  <si>
    <t xml:space="preserve">2026-07-18-l-iii-jt-mariposas-de-la-montana-item-125</t>
  </si>
  <si>
    <t xml:space="preserve">L:A
Libélulas 
de la sabana</t>
  </si>
  <si>
    <t xml:space="preserve">Topitos</t>
  </si>
  <si>
    <t xml:space="preserve">https://tierramadre.app/p/126</t>
  </si>
  <si>
    <t xml:space="preserve">https://tierramadre.app/product/126</t>
  </si>
  <si>
    <t xml:space="preserve">https://drive.google.com/drive/folders/1Eqq_ZD9FTCZmhMrEnJnXm-4r7HJ2UzE2</t>
  </si>
  <si>
    <t xml:space="preserve">2026-07-18-l-a-libelulas-de-la-sabana-item-126</t>
  </si>
  <si>
    <t xml:space="preserve">Resplandor 
Celestial</t>
  </si>
  <si>
    <t xml:space="preserve">https://tierramadre.app/p/127</t>
  </si>
  <si>
    <t xml:space="preserve">https://tierramadre.app/product/127</t>
  </si>
  <si>
    <t xml:space="preserve">https://drive.google.com/drive/folders/1lCJm8KB4amJiFqIJAhKYfqyzjUeKZX_P</t>
  </si>
  <si>
    <t xml:space="preserve">2026-07-18-resplandor-celestial-item-127</t>
  </si>
  <si>
    <t xml:space="preserve">Sagrado
 Corazón</t>
  </si>
  <si>
    <t xml:space="preserve">12.7 × 12.0 × 5.1 mm</t>
  </si>
  <si>
    <t xml:space="preserve">Jackeline Riascos Urrea</t>
  </si>
  <si>
    <t xml:space="preserve">https://tierramadre.app/p/128</t>
  </si>
  <si>
    <t xml:space="preserve">Centro del Universo</t>
  </si>
  <si>
    <t xml:space="preserve">https://tierramadre.app/product/128</t>
  </si>
  <si>
    <t xml:space="preserve">https://drive.google.com/drive/folders/1iddtKj7Yd9BinC2GUWOBySOdyZET4w01</t>
  </si>
  <si>
    <t xml:space="preserve">2026-07-18-sagrado-corazon-item-128</t>
  </si>
  <si>
    <t xml:space="preserve">Caja (snapshot) registra comprador 'Mitchel Moreno Marin' vs asesor actual 'Jackeline Riascos Urrea' — revisar si son ventas distintas o la copia está desactualizada.</t>
  </si>
  <si>
    <t xml:space="preserve">Origen
 Eterno</t>
  </si>
  <si>
    <t xml:space="preserve">4.9 × 5.1 × 3.9 mm</t>
  </si>
  <si>
    <t xml:space="preserve">https://tierramadre.app/p/129</t>
  </si>
  <si>
    <t xml:space="preserve">https://tierramadre.app/product/129</t>
  </si>
  <si>
    <t xml:space="preserve">https://drive.google.com/drive/folders/1M8bhDkjWJyCp_-0s_YVxyTHp6QTbNv6r</t>
  </si>
  <si>
    <t xml:space="preserve">2026-07-15-origen-eterno-item-129</t>
  </si>
  <si>
    <t xml:space="preserve">Via
 lactea</t>
  </si>
  <si>
    <t xml:space="preserve">5.8 × 4.8 × 3.7 mm</t>
  </si>
  <si>
    <t xml:space="preserve">https://tierramadre.app/p/130</t>
  </si>
  <si>
    <t xml:space="preserve">https://tierramadre.app/product/130</t>
  </si>
  <si>
    <t xml:space="preserve">https://drive.google.com/drive/folders/1gl_uVjnCFCkZBue-1Q31g9bjnCA6Bl6j</t>
  </si>
  <si>
    <t xml:space="preserve">2026-07-18-via-lactea-item-130</t>
  </si>
  <si>
    <t xml:space="preserve">Eje 
Central</t>
  </si>
  <si>
    <t xml:space="preserve">https://tierramadre.app/p/131</t>
  </si>
  <si>
    <t xml:space="preserve">https://tierramadre.app/product/131</t>
  </si>
  <si>
    <t xml:space="preserve">https://drive.google.com/drive/folders/1vabP6Jy8P47lf5D99JNt4VRimACDyTHX</t>
  </si>
  <si>
    <t xml:space="preserve">2026-07-18-eje-central-item-131</t>
  </si>
  <si>
    <t xml:space="preserve">Alma</t>
  </si>
  <si>
    <t xml:space="preserve">6.0 × 5.6 × 3.2 mm</t>
  </si>
  <si>
    <t xml:space="preserve">https://tierramadre.app/p/132</t>
  </si>
  <si>
    <t xml:space="preserve">https://tierramadre.app/product/132</t>
  </si>
  <si>
    <t xml:space="preserve">https://drive.google.com/drive/folders/1_7zCQGTUacSWG_JH88DN5y23taLN3yBL</t>
  </si>
  <si>
    <t xml:space="preserve">2026-07-18-alma-item-132</t>
  </si>
  <si>
    <t xml:space="preserve">Cosmos</t>
  </si>
  <si>
    <t xml:space="preserve">https://tierramadre.app/p/133</t>
  </si>
  <si>
    <t xml:space="preserve">https://tierramadre.app/product/133</t>
  </si>
  <si>
    <t xml:space="preserve">https://drive.google.com/drive/folders/1gGbNZ1NVd-ksyK-a5pvpk27cgp1NslBq</t>
  </si>
  <si>
    <t xml:space="preserve">2026-07-18-cosmos-item-133</t>
  </si>
  <si>
    <t xml:space="preserve">Orión</t>
  </si>
  <si>
    <t xml:space="preserve">https://tierramadre.app/p/134</t>
  </si>
  <si>
    <t xml:space="preserve">https://tierramadre.app/product/134</t>
  </si>
  <si>
    <t xml:space="preserve">https://drive.google.com/drive/folders/1kdBi3g39WqOUpoxafwqExZF8ZURRrRrB</t>
  </si>
  <si>
    <t xml:space="preserve">2026-07-18-orion-item-134</t>
  </si>
  <si>
    <t xml:space="preserve">https://tierramadre.app/p/135</t>
  </si>
  <si>
    <t xml:space="preserve">https://tierramadre.app/product/135</t>
  </si>
  <si>
    <t xml:space="preserve">https://drive.google.com/drive/folders/1LHfzsTnyG7NyLBo7lNjJ3gEs_NtiaZum</t>
  </si>
  <si>
    <t xml:space="preserve">2026-07-18-l-iii-jt-mariposas-de-la-montana-item-135</t>
  </si>
  <si>
    <t xml:space="preserve">https://tierramadre.app/p/136</t>
  </si>
  <si>
    <t xml:space="preserve">https://tierramadre.app/product/136</t>
  </si>
  <si>
    <t xml:space="preserve">https://drive.google.com/drive/folders/1VwfgmgrpiHWSNERlJ8TBnel3G3NrCtGF</t>
  </si>
  <si>
    <t xml:space="preserve">2026-07-18-l-iii-jt-mariposas-de-la-montana-item-136</t>
  </si>
  <si>
    <t xml:space="preserve">https://tierramadre.app/p/137</t>
  </si>
  <si>
    <t xml:space="preserve">https://tierramadre.app/product/137</t>
  </si>
  <si>
    <t xml:space="preserve">https://drive.google.com/drive/folders/1ff3M-2142fyllDSc3BCSf1jjYWB5nCve</t>
  </si>
  <si>
    <t xml:space="preserve">2026-07-18-l-iii-jt-mariposas-de-la-montana-item-137</t>
  </si>
  <si>
    <t xml:space="preserve">https://tierramadre.app/p/138</t>
  </si>
  <si>
    <t xml:space="preserve">https://tierramadre.app/product/138</t>
  </si>
  <si>
    <t xml:space="preserve">https://drive.google.com/drive/folders/1DMO3Mgy7U8vOd3XdAG1nCoUhGdfHVCIk</t>
  </si>
  <si>
    <t xml:space="preserve">2026-07-18-l-iii-jt-mariposas-de-la-montana-item-138</t>
  </si>
  <si>
    <t xml:space="preserve">https://tierramadre.app/p/139</t>
  </si>
  <si>
    <t xml:space="preserve">https://tierramadre.app/product/139</t>
  </si>
  <si>
    <t xml:space="preserve">https://drive.google.com/drive/folders/1DG9p37zEXKD_trH5iDXC3wxTCFIs4ugi</t>
  </si>
  <si>
    <t xml:space="preserve">2026-07-18-l-iii-jt-mariposas-de-la-montana-item-139</t>
  </si>
  <si>
    <t xml:space="preserve">https://tierramadre.app/p/140</t>
  </si>
  <si>
    <t xml:space="preserve">C-048</t>
  </si>
  <si>
    <t xml:space="preserve">https://tierramadre.app/product/140</t>
  </si>
  <si>
    <t xml:space="preserve">https://drive.google.com/drive/folders/1UyYmGdFP3XXKjKtGgirt6PNFCoi8OO8q</t>
  </si>
  <si>
    <t xml:space="preserve">2026-07-13-mariposa-de-la-montana-item-140</t>
  </si>
  <si>
    <t xml:space="preserve">Legacy + Fotosintesis/Convex + ModeloPrecios + Ventas + CajaInventario</t>
  </si>
  <si>
    <t xml:space="preserve">Calidad difiere: legacy=FINA ESENCIAL vs modeloPrecios=F1 | Caja (snapshot) registra comprador 'Tierra Madre' vs asesor actual 'Isa la Negra Vikinga Warrior Portocarrero' — revisar si son ventas distintas o la copia está desactualizada.</t>
  </si>
  <si>
    <t xml:space="preserve">https://tierramadre.app/p/141</t>
  </si>
  <si>
    <t xml:space="preserve">https://tierramadre.app/product/141</t>
  </si>
  <si>
    <t xml:space="preserve">https://drive.google.com/drive/folders/1Ut-ZdUW9Bt3pe33q90KtVLcEJG7Gh3hn</t>
  </si>
  <si>
    <t xml:space="preserve">2026-07-18-l-iii-jt-mariposas-de-la-montana-item-141</t>
  </si>
  <si>
    <t xml:space="preserve">Ana Maria Pelaez</t>
  </si>
  <si>
    <t xml:space="preserve">https://tierramadre.app/p/142</t>
  </si>
  <si>
    <t xml:space="preserve">https://tierramadre.app/product/142</t>
  </si>
  <si>
    <t xml:space="preserve">https://drive.google.com/drive/folders/10f8VQncQpIlb3otgIp-j1wB78MQzvkYB</t>
  </si>
  <si>
    <t xml:space="preserve">2026-07-18-l-iii-jt-mariposas-de-la-montana-item-142</t>
  </si>
  <si>
    <t xml:space="preserve">Mario Gómez</t>
  </si>
  <si>
    <t xml:space="preserve">https://tierramadre.app/p/143</t>
  </si>
  <si>
    <t xml:space="preserve">Mario Gomez</t>
  </si>
  <si>
    <t xml:space="preserve">https://tierramadre.app/product/143</t>
  </si>
  <si>
    <t xml:space="preserve">https://drive.google.com/drive/folders/1C3jH659jda9pz04oFgZEH_XHa-Lulauj</t>
  </si>
  <si>
    <t xml:space="preserve">2026-07-18-l-iii-jt-mariposas-de-la-montana-item-143</t>
  </si>
  <si>
    <t xml:space="preserve">Caja (snapshot) registra comprador 'Mario Gomez' vs asesor actual 'Mario Gómez' — revisar si son ventas distintas o la copia está desactualizada.</t>
  </si>
  <si>
    <t xml:space="preserve">https://tierramadre.app/p/144</t>
  </si>
  <si>
    <t xml:space="preserve">En  Prenda
Angela</t>
  </si>
  <si>
    <t xml:space="preserve">https://tierramadre.app/product/144</t>
  </si>
  <si>
    <t xml:space="preserve">https://drive.google.com/drive/folders/1vMekjTveyo_XVtE2dzrS-1NPQgEfoFIy</t>
  </si>
  <si>
    <t xml:space="preserve">2026-07-18-l-iii-jt-mariposas-de-la-montana-item-144</t>
  </si>
  <si>
    <t xml:space="preserve">https://tierramadre.app/p/145</t>
  </si>
  <si>
    <t xml:space="preserve">https://tierramadre.app/product/145</t>
  </si>
  <si>
    <t xml:space="preserve">https://drive.google.com/drive/folders/1qWwQtci566KsursJEYkPQuT_8VCrngyj</t>
  </si>
  <si>
    <t xml:space="preserve">2026-07-18-l-iii-jt-mariposas-de-la-montana-item-145</t>
  </si>
  <si>
    <t xml:space="preserve">https://tierramadre.app/p/146</t>
  </si>
  <si>
    <t xml:space="preserve">https://tierramadre.app/product/146</t>
  </si>
  <si>
    <t xml:space="preserve">https://drive.google.com/drive/folders/1YFGbpyzh4jrIPx3zNRKOVKydykKfnLxa</t>
  </si>
  <si>
    <t xml:space="preserve">2026-07-18-l-iii-jt-mariposas-de-la-montana-item-146</t>
  </si>
  <si>
    <t xml:space="preserve">https://tierramadre.app/p/147</t>
  </si>
  <si>
    <t xml:space="preserve">Disponible 
Reservados en 
Caja transparente</t>
  </si>
  <si>
    <t xml:space="preserve">https://tierramadre.app/product/147</t>
  </si>
  <si>
    <t xml:space="preserve">https://drive.google.com/drive/folders/17gbgjkbBPayECuHfifeEPg52-jsCCIAA</t>
  </si>
  <si>
    <t xml:space="preserve">2026-07-18-l-iii-jt-mariposas-de-la-montana-item-147</t>
  </si>
  <si>
    <t xml:space="preserve">https://tierramadre.app/p/148</t>
  </si>
  <si>
    <t xml:space="preserve">https://tierramadre.app/product/148</t>
  </si>
  <si>
    <t xml:space="preserve">https://drive.google.com/drive/folders/1_6ZQsjS3vePfVdB55YvLNtnNIqM-Sy07</t>
  </si>
  <si>
    <t xml:space="preserve">2026-07-18-l-iii-jt-mariposas-de-la-montana-item-148</t>
  </si>
  <si>
    <t xml:space="preserve">https://tierramadre.app/p/149</t>
  </si>
  <si>
    <t xml:space="preserve">https://tierramadre.app/product/149</t>
  </si>
  <si>
    <t xml:space="preserve">https://drive.google.com/drive/folders/1v8AeHEhs_CfiDUOgyWIGzbu-A-c0ZN1B</t>
  </si>
  <si>
    <t xml:space="preserve">2026-07-18-l-iii-jt-mariposas-de-la-montana-item-149</t>
  </si>
  <si>
    <t xml:space="preserve">https://tierramadre.app/p/150</t>
  </si>
  <si>
    <t xml:space="preserve">https://tierramadre.app/product/150</t>
  </si>
  <si>
    <t xml:space="preserve">https://drive.google.com/drive/folders/1KnI09fuvLX3qMCOcn9uvP9Ia7UL-pTKc</t>
  </si>
  <si>
    <t xml:space="preserve">2026-07-18-l-iii-jt-mariposas-de-la-montana-item-150</t>
  </si>
  <si>
    <t xml:space="preserve">Mauricio Echeverry</t>
  </si>
  <si>
    <t xml:space="preserve">CONSIGNACION</t>
  </si>
  <si>
    <t xml:space="preserve">https://tierramadre.app/p/151</t>
  </si>
  <si>
    <t xml:space="preserve">https://tierramadre.app/product/151</t>
  </si>
  <si>
    <t xml:space="preserve">https://drive.google.com/drive/folders/1743YatAKz_jubkQ-WXASDyD3XzDKazc7</t>
  </si>
  <si>
    <t xml:space="preserve">2026-07-18-l-iii-jt-mariposas-de-la-montana-item-151</t>
  </si>
  <si>
    <t xml:space="preserve">Legacy + Fotosintesis/Convex + Kardex + CajaInventario</t>
  </si>
  <si>
    <t xml:space="preserve">Caja (snapshot) registra comprador 'Tierra Madre' vs asesor actual 'Mauricio Echeverry' — revisar si son ventas distintas o la copia está desactualizada.</t>
  </si>
  <si>
    <t xml:space="preserve">https://tierramadre.app/p/152</t>
  </si>
  <si>
    <t xml:space="preserve">https://tierramadre.app/product/152</t>
  </si>
  <si>
    <t xml:space="preserve">https://drive.google.com/drive/folders/1dUBzMWfO-Y_nraroF8gTt2wjeC_z0ilf</t>
  </si>
  <si>
    <t xml:space="preserve">2026-07-18-l-a-libelulas-de-la-sabana-item-152</t>
  </si>
  <si>
    <t xml:space="preserve">https://tierramadre.app/p/153</t>
  </si>
  <si>
    <t xml:space="preserve">https://tierramadre.app/product/153</t>
  </si>
  <si>
    <t xml:space="preserve">https://drive.google.com/drive/folders/1CHV6ujcMYdDJ55uDoFxyvFpOXo6hs_WD</t>
  </si>
  <si>
    <t xml:space="preserve">2026-07-13-libelulas-de-la-sabana-item-153</t>
  </si>
  <si>
    <t xml:space="preserve">Calidad difiere: legacy=Plata - comercial vs modeloPrecios=C. Superior | Caja (snapshot) registra comprador 'M.Gomez' vs asesor actual 'M.Gómez' — revisar si son ventas distintas o la copia está desactualizada.</t>
  </si>
  <si>
    <t xml:space="preserve">07-dic-0225</t>
  </si>
  <si>
    <t xml:space="preserve">Eterna
 Eclipse</t>
  </si>
  <si>
    <t xml:space="preserve">Morralla Fina</t>
  </si>
  <si>
    <t xml:space="preserve">Morralla-Lapidada</t>
  </si>
  <si>
    <t xml:space="preserve">19.9 × 8.3 × 5.5 mm</t>
  </si>
  <si>
    <t xml:space="preserve">Piedras</t>
  </si>
  <si>
    <t xml:space="preserve">https://tierramadre.app/p/154</t>
  </si>
  <si>
    <t xml:space="preserve">Terrícolas</t>
  </si>
  <si>
    <t xml:space="preserve">https://tierramadre.app/product/154</t>
  </si>
  <si>
    <t xml:space="preserve">https://drive.google.com/drive/folders/11gX2hvTokX9P7SItGDAkjrgxRcXI_gfN</t>
  </si>
  <si>
    <t xml:space="preserve">2026-07-18-eterna-eclipse-item-154</t>
  </si>
  <si>
    <t xml:space="preserve">Reflejo
 del Páramo</t>
  </si>
  <si>
    <t xml:space="preserve">9.9 × 9.2 × 9.6 mm</t>
  </si>
  <si>
    <t xml:space="preserve">https://tierramadre.app/p/155</t>
  </si>
  <si>
    <t xml:space="preserve">Sin Legalizar</t>
  </si>
  <si>
    <t xml:space="preserve">https://tierramadre.app/product/155</t>
  </si>
  <si>
    <t xml:space="preserve">https://drive.google.com/drive/folders/1Z1CVGRDX-2kJMqVomfPhj0VoxjxVdfxq</t>
  </si>
  <si>
    <t xml:space="preserve">2026-07-18-reflejo-del-paramo-item-155</t>
  </si>
  <si>
    <t xml:space="preserve">peso ct recuperado de serial Excel · Caja (snapshot) registra comprador 'Tierra Madre' vs asesor actual 'M.Campuzano' — revisar si son ventas distintas o la copia está desactualizada.</t>
  </si>
  <si>
    <t xml:space="preserve">Poder de 
la Montaña</t>
  </si>
  <si>
    <t xml:space="preserve">11.6 × 9.5 × 7.1 mm</t>
  </si>
  <si>
    <t xml:space="preserve">https://tierramadre.app/p/156</t>
  </si>
  <si>
    <t xml:space="preserve">https://tierramadre.app/product/156</t>
  </si>
  <si>
    <t xml:space="preserve">https://drive.google.com/drive/folders/1z3_--DG7rNmKKZJrr485WWQ2UNBkamzB</t>
  </si>
  <si>
    <t xml:space="preserve">2026-07-18-poder-de-la-montana-item-156</t>
  </si>
  <si>
    <t xml:space="preserve">Refugio 
del Bosque</t>
  </si>
  <si>
    <t xml:space="preserve">8.8 × 10.0 × 5.4 mm</t>
  </si>
  <si>
    <t xml:space="preserve">https://tierramadre.app/p/157</t>
  </si>
  <si>
    <t xml:space="preserve">https://tierramadre.app/product/157</t>
  </si>
  <si>
    <t xml:space="preserve">https://drive.google.com/drive/folders/1vHoU5qc3xyLYjI7yj3AFMfvDlc5L20YH</t>
  </si>
  <si>
    <t xml:space="preserve">2026-07-18-refugio-del-bosque-item-157</t>
  </si>
  <si>
    <t xml:space="preserve">Eco de
 la Luna</t>
  </si>
  <si>
    <t xml:space="preserve">7.3 × 8.7 × 5.7 mm</t>
  </si>
  <si>
    <t xml:space="preserve">https://tierramadre.app/p/158</t>
  </si>
  <si>
    <t xml:space="preserve">https://tierramadre.app/product/158</t>
  </si>
  <si>
    <t xml:space="preserve">https://drive.google.com/drive/folders/1IuPzUtjrqobH_iqMBOd55jn1UJ2ldHKL</t>
  </si>
  <si>
    <t xml:space="preserve">2026-07-18-eco-de-la-luna-item-158</t>
  </si>
  <si>
    <t xml:space="preserve">Laguna 
Verde</t>
  </si>
  <si>
    <t xml:space="preserve">7.1 × 8.5 × 4.6 mm</t>
  </si>
  <si>
    <t xml:space="preserve">https://tierramadre.app/p/159</t>
  </si>
  <si>
    <t xml:space="preserve">https://tierramadre.app/product/159</t>
  </si>
  <si>
    <t xml:space="preserve">https://drive.google.com/drive/folders/1N9Pxd2Z9S_QGRCJtEAHPd5dBuWZETEcA</t>
  </si>
  <si>
    <t xml:space="preserve">2026-07-18-laguna-verde-item-159</t>
  </si>
  <si>
    <t xml:space="preserve">Fuerza 
del Condor</t>
  </si>
  <si>
    <t xml:space="preserve">12.5 × 6.9 × 6.0 mm</t>
  </si>
  <si>
    <t xml:space="preserve">https://tierramadre.app/p/160</t>
  </si>
  <si>
    <t xml:space="preserve">https://tierramadre.app/product/160</t>
  </si>
  <si>
    <t xml:space="preserve">https://drive.google.com/drive/folders/1vKkQ3ownjl34NJF7_UQHsPtLeXhFjAze</t>
  </si>
  <si>
    <t xml:space="preserve">2026-07-18-fuerza-del-condor-item-160</t>
  </si>
  <si>
    <t xml:space="preserve">Supernova</t>
  </si>
  <si>
    <t xml:space="preserve">7.6 × 8.1 × 5.0 mm</t>
  </si>
  <si>
    <t xml:space="preserve">https://tierramadre.app/p/161</t>
  </si>
  <si>
    <t xml:space="preserve">https://tierramadre.app/product/161</t>
  </si>
  <si>
    <t xml:space="preserve">https://drive.google.com/drive/folders/13mE5O1GGsTyxXKmZOqnwBY-c4_YLmUaM</t>
  </si>
  <si>
    <t xml:space="preserve">2026-07-18-supernova-item-161</t>
  </si>
  <si>
    <t xml:space="preserve">Nebulosa 
Verde</t>
  </si>
  <si>
    <t xml:space="preserve">10.3 × 8.8 × 5.4 mm</t>
  </si>
  <si>
    <t xml:space="preserve">https://tierramadre.app/p/162</t>
  </si>
  <si>
    <t xml:space="preserve">https://tierramadre.app/product/162</t>
  </si>
  <si>
    <t xml:space="preserve">https://drive.google.com/drive/folders/1H7xetZaJfcgpCbLhVKnZWOPwAdM5V0mW</t>
  </si>
  <si>
    <t xml:space="preserve">2026-07-18-nebulosa-verde-item-162</t>
  </si>
  <si>
    <t xml:space="preserve">03-ene-2026</t>
  </si>
  <si>
    <t xml:space="preserve">Diosa 
Afrodita</t>
  </si>
  <si>
    <t xml:space="preserve">https://tierramadre.app/p/163</t>
  </si>
  <si>
    <t xml:space="preserve">https://tierramadre.app/product/163</t>
  </si>
  <si>
    <t xml:space="preserve">https://drive.google.com/drive/folders/1erKwevxNjWwZDn4LD5DhnciHV5wUV6JA</t>
  </si>
  <si>
    <t xml:space="preserve">2026-07-18-diosa-afrodita-item-163</t>
  </si>
  <si>
    <t xml:space="preserve">Geminis</t>
  </si>
  <si>
    <t xml:space="preserve">https://tierramadre.app/p/164</t>
  </si>
  <si>
    <t xml:space="preserve">https://tierramadre.app/product/164</t>
  </si>
  <si>
    <t xml:space="preserve">https://drive.google.com/drive/folders/10EtdWpppL0yDSZpI8SRvM0ZjJrHpb_2Z</t>
  </si>
  <si>
    <t xml:space="preserve">2026-07-18-geminis-item-164</t>
  </si>
  <si>
    <t xml:space="preserve">Diosa 
Maya I</t>
  </si>
  <si>
    <t xml:space="preserve">https://tierramadre.app/p/165</t>
  </si>
  <si>
    <t xml:space="preserve">https://tierramadre.app/product/165</t>
  </si>
  <si>
    <t xml:space="preserve">https://drive.google.com/drive/folders/1iTy9N1RL593KE2Q20nYGWMgV_d3u0pSy</t>
  </si>
  <si>
    <t xml:space="preserve">2026-07-18-diosa-maya-i-item-165</t>
  </si>
  <si>
    <t xml:space="preserve">20-ene-2026</t>
  </si>
  <si>
    <t xml:space="preserve">L:A
Loto</t>
  </si>
  <si>
    <t xml:space="preserve">ESMERO</t>
  </si>
  <si>
    <t xml:space="preserve">https://tierramadre.app/p/166</t>
  </si>
  <si>
    <t xml:space="preserve">https://tierramadre.app/product/166</t>
  </si>
  <si>
    <t xml:space="preserve">https://drive.google.com/drive/folders/1U43O9sntzHBe8YtBjWrDFyZJ34sPBYeE</t>
  </si>
  <si>
    <t xml:space="preserve">2026-07-18-l-a-loto-item-166</t>
  </si>
  <si>
    <t xml:space="preserve">https://tierramadre.app/p/167</t>
  </si>
  <si>
    <t xml:space="preserve">https://tierramadre.app/product/167</t>
  </si>
  <si>
    <t xml:space="preserve">https://drive.google.com/drive/folders/1prf-3lHdV5QcbGVYMT_VC00FH-7KZS9E</t>
  </si>
  <si>
    <t xml:space="preserve">2026-07-18-l-a-anillo-de-plata-item-167</t>
  </si>
  <si>
    <t xml:space="preserve">Caja (snapshot) registra comprador 'M.Ruiz' vs asesor actual 'Isa la Negra Vikinga Warrior Portocarrero' — revisar si son ventas distintas o la copia está desactualizada.</t>
  </si>
  <si>
    <t xml:space="preserve">Lucero 
del Alba</t>
  </si>
  <si>
    <t xml:space="preserve">5.2 mm</t>
  </si>
  <si>
    <t xml:space="preserve">https://tierramadre.app/p/168</t>
  </si>
  <si>
    <t xml:space="preserve">https://tierramadre.app/product/168</t>
  </si>
  <si>
    <t xml:space="preserve">https://drive.google.com/drive/folders/18DZHYS5Olu4vm0PBqQllGZQ1T8omRlmk</t>
  </si>
  <si>
    <t xml:space="preserve">2026-07-18-lucero-del-alba-item-168</t>
  </si>
  <si>
    <t xml:space="preserve">Caja (snapshot) registra comprador 'L.A.Ospina' vs asesor actual 'Tierra Madre' — revisar si son ventas distintas o la copia está desactualizada.</t>
  </si>
  <si>
    <t xml:space="preserve">21-ene-26</t>
  </si>
  <si>
    <t xml:space="preserve">L:A
Giro 
Sagrado</t>
  </si>
  <si>
    <t xml:space="preserve">Morralla Superior</t>
  </si>
  <si>
    <t xml:space="preserve">Aretes</t>
  </si>
  <si>
    <t xml:space="preserve">https://tierramadre.app/p/169</t>
  </si>
  <si>
    <t xml:space="preserve">https://tierramadre.app/product/169</t>
  </si>
  <si>
    <t xml:space="preserve">https://drive.google.com/drive/folders/1kjxLjzo8vKBgBv68g7b97QNysSaAPBuK</t>
  </si>
  <si>
    <t xml:space="preserve">2026-07-18-l-a-giro-sagrado-item-169</t>
  </si>
  <si>
    <t xml:space="preserve">L:A-101-(2-3)
Gotas del 
Amazonas</t>
  </si>
  <si>
    <t xml:space="preserve">5.4 × 3.3 × 1.8 × 5.1 × 3.4 × 2.1 mm</t>
  </si>
  <si>
    <t xml:space="preserve">https://tierramadre.app/p/170</t>
  </si>
  <si>
    <t xml:space="preserve">C-074</t>
  </si>
  <si>
    <t xml:space="preserve">https://tierramadre.app/product/170</t>
  </si>
  <si>
    <t xml:space="preserve">https://drive.google.com/drive/folders/1WCXPNjp9BMPM8sVYf4F37V3DiseHLfAw</t>
  </si>
  <si>
    <t xml:space="preserve">2026-07-13-gotas-del-amazonas-item-170</t>
  </si>
  <si>
    <t xml:space="preserve">Calidad difiere: legacy=Fina Sublime vs modeloPrecios=Fina esencial | Caja (snapshot) registra comprador 'Tierra Madre' vs asesor actual 'M.Campuzano' — revisar si son ventas distintas o la copia está desactualizada. · costo estimado = precio/2.6 (costo original igualaba al precio)</t>
  </si>
  <si>
    <t xml:space="preserve">L:A-101-(1-5)
Dinastía  
Celestial</t>
  </si>
  <si>
    <t xml:space="preserve">6.4 × 3.5 × 2.3 × 4.7 × 2.9 × 1.9 mm</t>
  </si>
  <si>
    <t xml:space="preserve">https://tierramadre.app/p/171</t>
  </si>
  <si>
    <t xml:space="preserve">Dinastías</t>
  </si>
  <si>
    <t xml:space="preserve">https://tierramadre.app/product/171</t>
  </si>
  <si>
    <t xml:space="preserve">https://drive.google.com/drive/folders/1lVA7zujzQcuy1aL34xfVSC7DQrZnOBpH</t>
  </si>
  <si>
    <t xml:space="preserve">2026-07-18-l-a-101-1-5-dinastia-celestial-item-171</t>
  </si>
  <si>
    <t xml:space="preserve">Caja (snapshot) registra comprador 'Tierra Madre' vs asesor actual 'Mauricio Echeverry' — revisar si son ventas distintas o la copia está desactualizada. · costo estimado = precio/2.6 (costo original igualaba al precio)</t>
  </si>
  <si>
    <t xml:space="preserve">22-ene-2026</t>
  </si>
  <si>
    <t xml:space="preserve">L:A
Ojo 
de la
 Pantera</t>
  </si>
  <si>
    <t xml:space="preserve">6.7 × 4.4 × 3.3 mm</t>
  </si>
  <si>
    <t xml:space="preserve">https://tierramadre.app/p/172</t>
  </si>
  <si>
    <t xml:space="preserve">Encanto de la Montaña</t>
  </si>
  <si>
    <t xml:space="preserve">C-057</t>
  </si>
  <si>
    <t xml:space="preserve">https://tierramadre.app/product/172</t>
  </si>
  <si>
    <t xml:space="preserve">https://drive.google.com/drive/folders/1pKruhLCGwIFoejSlNMwRYNPfxMge4u2h</t>
  </si>
  <si>
    <t xml:space="preserve">2026-07-13-ojo-de-la-pantera-item-172</t>
  </si>
  <si>
    <t xml:space="preserve">Calidad difiere: legacy=Comercial Fina vs modeloPrecios=Fina comercial | Caja (snapshot) registra comprador 'Tierra Madre' vs asesor actual 'M.Campuzano' — revisar si son ventas distintas o la copia está desactualizada.</t>
  </si>
  <si>
    <t xml:space="preserve">L:A
corazón de
 la cordillera</t>
  </si>
  <si>
    <t xml:space="preserve">8.7 × 6.2 × 3.6 mm</t>
  </si>
  <si>
    <t xml:space="preserve">https://tierramadre.app/p/173</t>
  </si>
  <si>
    <t xml:space="preserve">https://tierramadre.app/product/173</t>
  </si>
  <si>
    <t xml:space="preserve">https://drive.google.com/drive/folders/1qQD-FdvUSV55X5md2hWpIYhodh41X36v</t>
  </si>
  <si>
    <t xml:space="preserve">2026-07-18-l-a-corazon-de-la-cordillera-item-173</t>
  </si>
  <si>
    <t xml:space="preserve">L:A
Lágrima 
de la
Montaña</t>
  </si>
  <si>
    <t xml:space="preserve">1.0 × 7.0 × 3.2 mm</t>
  </si>
  <si>
    <t xml:space="preserve">https://tierramadre.app/p/174</t>
  </si>
  <si>
    <t xml:space="preserve">https://tierramadre.app/product/174</t>
  </si>
  <si>
    <t xml:space="preserve">https://drive.google.com/drive/folders/1_ibteFPYYS6X6BWeCDF6kIDtKNjEFQqW</t>
  </si>
  <si>
    <t xml:space="preserve">2026-07-18-l-a-lagrima-de-la-montana-item-174</t>
  </si>
  <si>
    <t xml:space="preserve">L:A
Hechizo
Verde</t>
  </si>
  <si>
    <t xml:space="preserve">7.8 × 5.5 × 3.9 mm</t>
  </si>
  <si>
    <t xml:space="preserve">https://tierramadre.app/p/175</t>
  </si>
  <si>
    <t xml:space="preserve">Disponible 
Agua</t>
  </si>
  <si>
    <t xml:space="preserve">https://tierramadre.app/product/175</t>
  </si>
  <si>
    <t xml:space="preserve">https://drive.google.com/drive/folders/1UUfWMN65NsUheNirbibOCC_OiY92YZsr</t>
  </si>
  <si>
    <t xml:space="preserve">2026-07-15-hechizo-verde-item-175</t>
  </si>
  <si>
    <t xml:space="preserve">L:A
Asteroides
 verdes</t>
  </si>
  <si>
    <t xml:space="preserve">Chispero</t>
  </si>
  <si>
    <t xml:space="preserve">https://tierramadre.app/p/176</t>
  </si>
  <si>
    <t xml:space="preserve">https://tierramadre.app/product/176</t>
  </si>
  <si>
    <t xml:space="preserve">https://drive.google.com/drive/folders/1K8BiLHuG66_JGjZK9UKxM-TRXjxcTYno</t>
  </si>
  <si>
    <t xml:space="preserve">2026-07-18-l-a-asteroides-verdes-item-176</t>
  </si>
  <si>
    <t xml:space="preserve">L:A
LLuvia de 
Meteoritos</t>
  </si>
  <si>
    <t xml:space="preserve">Chisperito</t>
  </si>
  <si>
    <t xml:space="preserve">https://tierramadre.app/p/177</t>
  </si>
  <si>
    <t xml:space="preserve">https://tierramadre.app/product/177</t>
  </si>
  <si>
    <t xml:space="preserve">https://drive.google.com/drive/folders/1xIpPMtbrpo3LlQRj4YhJqH9fJMU7MY6b</t>
  </si>
  <si>
    <t xml:space="preserve">2026-07-18-l-a-lluvia-de-meteoritos-item-177</t>
  </si>
  <si>
    <t xml:space="preserve">27-ene-2026</t>
  </si>
  <si>
    <t xml:space="preserve">L:A
Gota 
Sagrada</t>
  </si>
  <si>
    <t xml:space="preserve">https://tierramadre.app/p/178</t>
  </si>
  <si>
    <t xml:space="preserve">https://tierramadre.app/product/178</t>
  </si>
  <si>
    <t xml:space="preserve">https://drive.google.com/drive/folders/1bv7A8PeHX6qpUbQVP1klBlItpzogB9r2</t>
  </si>
  <si>
    <t xml:space="preserve">2026-07-18-l-a-gota-sagrada-item-178</t>
  </si>
  <si>
    <t xml:space="preserve">Lote:
Prosperidad</t>
  </si>
  <si>
    <t xml:space="preserve">2.3 × 3.2 mm</t>
  </si>
  <si>
    <t xml:space="preserve">https://tierramadre.app/p/179</t>
  </si>
  <si>
    <t xml:space="preserve">Sueños de Mina</t>
  </si>
  <si>
    <t xml:space="preserve">https://tierramadre.app/product/179</t>
  </si>
  <si>
    <t xml:space="preserve">https://drive.google.com/drive/folders/1g-bQ9IQDRAjghFNXkW6LkVubB0mrN3PB</t>
  </si>
  <si>
    <t xml:space="preserve">2026-07-18-lote-prosperidad-item-179</t>
  </si>
  <si>
    <t xml:space="preserve">Caja (snapshot) registra comprador 'Alvaro Pelaez' vs asesor actual 'Tierra Madre' — revisar si son ventas distintas o la copia está desactualizada.</t>
  </si>
  <si>
    <t xml:space="preserve">Lote:
Soberanía</t>
  </si>
  <si>
    <t xml:space="preserve">3.5 mm</t>
  </si>
  <si>
    <t xml:space="preserve">https://tierramadre.app/p/180</t>
  </si>
  <si>
    <t xml:space="preserve">https://tierramadre.app/product/180</t>
  </si>
  <si>
    <t xml:space="preserve">https://drive.google.com/drive/folders/1do3DdfEwim5_343nr3oYW7OBwsE_X7CV</t>
  </si>
  <si>
    <t xml:space="preserve">2026-07-18-lote-soberania-item-180</t>
  </si>
  <si>
    <t xml:space="preserve">Lote:
Paz Infinita</t>
  </si>
  <si>
    <t xml:space="preserve">2.6 × 2.5 mm</t>
  </si>
  <si>
    <t xml:space="preserve">https://tierramadre.app/p/181</t>
  </si>
  <si>
    <t xml:space="preserve">https://tierramadre.app/product/181</t>
  </si>
  <si>
    <t xml:space="preserve">https://drive.google.com/drive/folders/1YykGZa05A17fvZEXIXC5DcZFmQ0tiUl-</t>
  </si>
  <si>
    <t xml:space="preserve">2026-07-18-lote-paz-infinita-item-181</t>
  </si>
  <si>
    <t xml:space="preserve">Secreto 
de Tena</t>
  </si>
  <si>
    <t xml:space="preserve">Canutillo</t>
  </si>
  <si>
    <t xml:space="preserve">https://tierramadre.app/p/182</t>
  </si>
  <si>
    <t xml:space="preserve">C-055</t>
  </si>
  <si>
    <t xml:space="preserve">Piedra Cristal</t>
  </si>
  <si>
    <t xml:space="preserve">https://tierramadre.app/product/182</t>
  </si>
  <si>
    <t xml:space="preserve">https://drive.google.com/drive/folders/1R101oEMM9l2PP4PEZUXykC0SCVd5rRsk</t>
  </si>
  <si>
    <t xml:space="preserve">2026-07-13-secreto-de-tena-item-182</t>
  </si>
  <si>
    <t xml:space="preserve">Calidad difiere: legacy=Fina Esencial  vs modeloPrecios=Fina comercial | Caja (snapshot) registra comprador 'Tierra Madre' vs asesor actual 'Isa la Negra Vikinga Warrior Portocarrero' — revisar si son ventas distintas o la copia está desactualizada.</t>
  </si>
  <si>
    <t xml:space="preserve">10-feb-2026</t>
  </si>
  <si>
    <t xml:space="preserve">L:A
Soberanía
imperial</t>
  </si>
  <si>
    <t xml:space="preserve">https://tierramadre.app/p/183</t>
  </si>
  <si>
    <t xml:space="preserve">https://tierramadre.app/product/183</t>
  </si>
  <si>
    <t xml:space="preserve">https://drive.google.com/drive/folders/101rLhpsZaXz6ex0UsHg9psWfuXWPVWT8</t>
  </si>
  <si>
    <t xml:space="preserve">2026-07-18-l-a-soberania-imperial-item-183</t>
  </si>
  <si>
    <t xml:space="preserve">L:A
Alegría
 Imperial</t>
  </si>
  <si>
    <t xml:space="preserve">https://tierramadre.app/p/184</t>
  </si>
  <si>
    <t xml:space="preserve">https://tierramadre.app/product/184</t>
  </si>
  <si>
    <t xml:space="preserve">https://drive.google.com/drive/folders/12zoLZjliUzhVAee2oJmlo5fAKiweEoxZ</t>
  </si>
  <si>
    <t xml:space="preserve">2026-07-18-l-a-alegria-imperial-item-184</t>
  </si>
  <si>
    <t xml:space="preserve">30-mar-2026</t>
  </si>
  <si>
    <t xml:space="preserve">Cuarzo 
Cristal</t>
  </si>
  <si>
    <t xml:space="preserve">1/6</t>
  </si>
  <si>
    <t xml:space="preserve">https://tierramadre.app/p/185</t>
  </si>
  <si>
    <t xml:space="preserve">https://tierramadre.app/product/185</t>
  </si>
  <si>
    <t xml:space="preserve">https://drive.google.com/drive/folders/14tfZnZZk1G8Xg8x9WGbIBoxo5u6l6HRc</t>
  </si>
  <si>
    <t xml:space="preserve">2026-07-18-cuarzo-cristal-item-185</t>
  </si>
  <si>
    <t xml:space="preserve">24-ene-2026</t>
  </si>
  <si>
    <t xml:space="preserve">Penumbra 
(2-Y)</t>
  </si>
  <si>
    <t xml:space="preserve">10.50 × 10.0 × 0.50 mm</t>
  </si>
  <si>
    <t xml:space="preserve">https://tierramadre.app/p/186</t>
  </si>
  <si>
    <t xml:space="preserve">Finas 29-Ene</t>
  </si>
  <si>
    <t xml:space="preserve">Disponible 
Bogota</t>
  </si>
  <si>
    <t xml:space="preserve">https://tierramadre.app/product/186</t>
  </si>
  <si>
    <t xml:space="preserve">https://drive.google.com/drive/folders/1CvNApvi6FuVLsVW20Vv7fzcwfJQ1V5uS</t>
  </si>
  <si>
    <t xml:space="preserve">2026-07-18-penumbra-2-y-item-186</t>
  </si>
  <si>
    <t xml:space="preserve">peso ct recuperado de serial Excel · Caja (snapshot) registra comprador 'M.Ruiz' vs asesor actual 'M.Campuzano' — revisar si son ventas distintas o la copia está desactualizada.</t>
  </si>
  <si>
    <t xml:space="preserve">Reflejo de la 
Selva 
 (3-Y)</t>
  </si>
  <si>
    <t xml:space="preserve">https://tierramadre.app/p/187</t>
  </si>
  <si>
    <t xml:space="preserve">https://tierramadre.app/product/187</t>
  </si>
  <si>
    <t xml:space="preserve">https://drive.google.com/drive/folders/1NocARjAsRQJPF9ee2aXgmGDjwoku4l33</t>
  </si>
  <si>
    <t xml:space="preserve">2026-07-18-reflejo-de-la-selva-3-y-item-187</t>
  </si>
  <si>
    <t xml:space="preserve">Abrazo 
del Páramo
(4-Y)</t>
  </si>
  <si>
    <t xml:space="preserve">https://tierramadre.app/p/188</t>
  </si>
  <si>
    <t xml:space="preserve">https://tierramadre.app/product/188</t>
  </si>
  <si>
    <t xml:space="preserve">https://drive.google.com/drive/folders/15PUfmD-L627FTNQuAfiTO6FKAqGac-3k</t>
  </si>
  <si>
    <t xml:space="preserve">2026-07-18-abrazo-del-paramo-4-y-item-188</t>
  </si>
  <si>
    <t xml:space="preserve">Suspiro
 de Eternidad
(5-Y)</t>
  </si>
  <si>
    <t xml:space="preserve">https://tierramadre.app/p/189</t>
  </si>
  <si>
    <t xml:space="preserve">https://tierramadre.app/product/189</t>
  </si>
  <si>
    <t xml:space="preserve">https://drive.google.com/drive/folders/1qq8J80cHLIoc_Cm1YdAQK43Nrlg2XL2L</t>
  </si>
  <si>
    <t xml:space="preserve">2026-07-18-suspiro-de-eternidad-5-y-item-189</t>
  </si>
  <si>
    <t xml:space="preserve">Gratitud
Sagrada
 (6-Y)</t>
  </si>
  <si>
    <t xml:space="preserve">https://tierramadre.app/p/190</t>
  </si>
  <si>
    <t xml:space="preserve">https://tierramadre.app/product/190</t>
  </si>
  <si>
    <t xml:space="preserve">https://drive.google.com/drive/folders/1VofwgFABuXDYcXUwEfny1moaOop4tGwG</t>
  </si>
  <si>
    <t xml:space="preserve">2026-07-18-gratitud-sagrada-6-y-item-190</t>
  </si>
  <si>
    <t xml:space="preserve">Caja (snapshot) registra comprador 'M.Ruiz' vs asesor actual 'M.Campuzano' — revisar si son ventas distintas o la copia está desactualizada.</t>
  </si>
  <si>
    <t xml:space="preserve">Nebulosa
 Verde
(7-Y)</t>
  </si>
  <si>
    <t xml:space="preserve">8.90 × 9.50 × 7.20 mm</t>
  </si>
  <si>
    <t xml:space="preserve">https://tierramadre.app/p/191</t>
  </si>
  <si>
    <t xml:space="preserve">https://tierramadre.app/product/191</t>
  </si>
  <si>
    <t xml:space="preserve">https://drive.google.com/drive/folders/1rfVCj6DBkwrpnlweV7cSqcMCG4DKltP3</t>
  </si>
  <si>
    <t xml:space="preserve">2026-07-18-nebulosa-verde-7-y-item-191</t>
  </si>
  <si>
    <t xml:space="preserve">Tayrona 
(8-J)</t>
  </si>
  <si>
    <t xml:space="preserve">13.60 × 17.50 × 8.50 mm</t>
  </si>
  <si>
    <t xml:space="preserve">https://tierramadre.app/p/192</t>
  </si>
  <si>
    <t xml:space="preserve">https://tierramadre.app/product/192</t>
  </si>
  <si>
    <t xml:space="preserve">https://drive.google.com/drive/folders/19zJSae3b8TTdsILjg7OpAA7k3xgltSMO</t>
  </si>
  <si>
    <t xml:space="preserve">2026-07-18-tayrona-8-j-item-192</t>
  </si>
  <si>
    <t xml:space="preserve">Secretos 
del Sol
(9-J)</t>
  </si>
  <si>
    <t xml:space="preserve">https://tierramadre.app/p/193</t>
  </si>
  <si>
    <t xml:space="preserve">https://tierramadre.app/product/193</t>
  </si>
  <si>
    <t xml:space="preserve">https://drive.google.com/drive/folders/1-YpUNfauk5aSlpWYZlcu_Ks5nIMuzl27</t>
  </si>
  <si>
    <t xml:space="preserve">2026-07-18-secretos-del-sol-9-j-item-193</t>
  </si>
  <si>
    <t xml:space="preserve">Gaia Imperial
(10-J)</t>
  </si>
  <si>
    <t xml:space="preserve">https://tierramadre.app/p/194</t>
  </si>
  <si>
    <t xml:space="preserve">https://tierramadre.app/product/194</t>
  </si>
  <si>
    <t xml:space="preserve">https://drive.google.com/drive/folders/1CUw6JHAolCtczUvQuDOK3kSbxcwULNt8</t>
  </si>
  <si>
    <t xml:space="preserve">2026-07-18-gaia-imperial-10-j-item-194</t>
  </si>
  <si>
    <t xml:space="preserve">Luz de 
Eternidad
(11-V)</t>
  </si>
  <si>
    <t xml:space="preserve">https://tierramadre.app/p/195</t>
  </si>
  <si>
    <t xml:space="preserve">https://tierramadre.app/product/195</t>
  </si>
  <si>
    <t xml:space="preserve">https://drive.google.com/drive/folders/1ch1ciL24GniiFNVlnwyQTdeCFbAs4r8a</t>
  </si>
  <si>
    <t xml:space="preserve">2026-07-18-luz-de-eternidad-11-v-item-195</t>
  </si>
  <si>
    <t xml:space="preserve">Verde
 Tropical
 (7-1C)</t>
  </si>
  <si>
    <t xml:space="preserve">14.5 × 16.7 × 9.7 mm</t>
  </si>
  <si>
    <t xml:space="preserve">https://tierramadre.app/p/196</t>
  </si>
  <si>
    <t xml:space="preserve">Comerciales 29-Ene</t>
  </si>
  <si>
    <t xml:space="preserve">https://tierramadre.app/product/196</t>
  </si>
  <si>
    <t xml:space="preserve">https://drive.google.com/drive/folders/1NCBs2mu_Vmh23K4dMxyOxtfNnbbN8rXB</t>
  </si>
  <si>
    <t xml:space="preserve">2026-07-18-verde-tropical-7-1c-item-196</t>
  </si>
  <si>
    <t xml:space="preserve">Latido  
Profundo 
 (5-C)</t>
  </si>
  <si>
    <t xml:space="preserve">17.0 × 18.0 mm</t>
  </si>
  <si>
    <t xml:space="preserve">https://tierramadre.app/p/197</t>
  </si>
  <si>
    <t xml:space="preserve">https://tierramadre.app/product/197</t>
  </si>
  <si>
    <t xml:space="preserve">https://drive.google.com/drive/folders/1ebmvBydQi-o-DCOeKchc4eSh2OlYif_C</t>
  </si>
  <si>
    <t xml:space="preserve">2026-07-18-latido-profundo-5-c-item-197</t>
  </si>
  <si>
    <t xml:space="preserve">Siglo Verde 
(4-C)</t>
  </si>
  <si>
    <t xml:space="preserve">8.00 × 14.0 × 6.5 mm</t>
  </si>
  <si>
    <t xml:space="preserve">https://tierramadre.app/p/198</t>
  </si>
  <si>
    <t xml:space="preserve">https://tierramadre.app/product/198</t>
  </si>
  <si>
    <t xml:space="preserve">https://drive.google.com/drive/folders/1uMeMWN7iwLY0c4udVUkMC3qMfwsjV_8e</t>
  </si>
  <si>
    <t xml:space="preserve">2026-07-18-siglo-verde-4-c-item-198</t>
  </si>
  <si>
    <t xml:space="preserve">Tesoro
(1-C)</t>
  </si>
  <si>
    <t xml:space="preserve">11.04 × 10.07 × 6.9 mm</t>
  </si>
  <si>
    <t xml:space="preserve">https://tierramadre.app/p/199</t>
  </si>
  <si>
    <t xml:space="preserve">https://tierramadre.app/product/199</t>
  </si>
  <si>
    <t xml:space="preserve">https://drive.google.com/drive/folders/1jVmx5Sgcz9CCFRYM1cmFZo_c1hfIyMPA</t>
  </si>
  <si>
    <t xml:space="preserve">2026-07-18-tesoro-1-c-item-199</t>
  </si>
  <si>
    <t xml:space="preserve">Reflejo
 del Alma 
(2-C)</t>
  </si>
  <si>
    <t xml:space="preserve">25.00 × 18.00 × 10.00 mm</t>
  </si>
  <si>
    <t xml:space="preserve">https://tierramadre.app/p/200</t>
  </si>
  <si>
    <t xml:space="preserve">https://tierramadre.app/product/200</t>
  </si>
  <si>
    <t xml:space="preserve">https://drive.google.com/drive/folders/1BzWKxKR_QBMoAeCIBnhKssQ-ALWFIFde</t>
  </si>
  <si>
    <t xml:space="preserve">2026-07-18-reflejo-del-alma-2-c-item-200</t>
  </si>
  <si>
    <t xml:space="preserve">Misterio 
del Rio
(3-C)</t>
  </si>
  <si>
    <t xml:space="preserve">7.20 × 9.9 × 5.5 mm</t>
  </si>
  <si>
    <t xml:space="preserve">https://tierramadre.app/p/201</t>
  </si>
  <si>
    <t xml:space="preserve">https://tierramadre.app/product/201</t>
  </si>
  <si>
    <t xml:space="preserve">https://drive.google.com/drive/folders/1WOU3HDTxMEiTYZZ2P6Li3xb3yK1O-TVl</t>
  </si>
  <si>
    <t xml:space="preserve">2026-07-18-misterio-del-rio-3-c-item-201</t>
  </si>
  <si>
    <t xml:space="preserve">Claridad
(6-C)</t>
  </si>
  <si>
    <t xml:space="preserve">8.15 × 8.5 × 6.13 mm</t>
  </si>
  <si>
    <t xml:space="preserve">https://tierramadre.app/p/202</t>
  </si>
  <si>
    <t xml:space="preserve">https://tierramadre.app/product/202</t>
  </si>
  <si>
    <t xml:space="preserve">https://drive.google.com/drive/folders/1SWncHcX1k5Gc8c6TA-l7CkczBI7Bb7Di</t>
  </si>
  <si>
    <t xml:space="preserve">2026-07-18-claridad-6-c-item-202</t>
  </si>
  <si>
    <t xml:space="preserve">Boyaca 
(8-C)</t>
  </si>
  <si>
    <t xml:space="preserve">15.00 × 17.5 × 8.00 mm</t>
  </si>
  <si>
    <t xml:space="preserve">https://tierramadre.app/p/203</t>
  </si>
  <si>
    <t xml:space="preserve">https://tierramadre.app/product/203</t>
  </si>
  <si>
    <t xml:space="preserve">https://drive.google.com/drive/folders/1v22emp6NXetAS2Cs4KyQdAEViPkYtslB</t>
  </si>
  <si>
    <t xml:space="preserve">2026-07-18-boyaca-8-c-item-203</t>
  </si>
  <si>
    <t xml:space="preserve">Verde 
Dinastía
(9-C)</t>
  </si>
  <si>
    <t xml:space="preserve">https://tierramadre.app/p/204</t>
  </si>
  <si>
    <t xml:space="preserve">https://tierramadre.app/product/204</t>
  </si>
  <si>
    <t xml:space="preserve">https://drive.google.com/drive/folders/1vaUjddcO7gd9FBNB0vBcX8d9N4NPtRe-</t>
  </si>
  <si>
    <t xml:space="preserve">2026-07-18-verde-dinastia-9-c-item-204</t>
  </si>
  <si>
    <t xml:space="preserve">Canto del
 Bosque
(10-C)</t>
  </si>
  <si>
    <t xml:space="preserve">https://tierramadre.app/p/205</t>
  </si>
  <si>
    <t xml:space="preserve">https://tierramadre.app/product/205</t>
  </si>
  <si>
    <t xml:space="preserve">https://drive.google.com/drive/folders/1m1hrulEGiKxbVCyp8QTJGK8H9LMefHKX</t>
  </si>
  <si>
    <t xml:space="preserve">2026-07-18-canto-del-bosque-10-c-item-205</t>
  </si>
  <si>
    <t xml:space="preserve">Reflejo 
de Muzo
(11-C)</t>
  </si>
  <si>
    <t xml:space="preserve">https://tierramadre.app/p/206</t>
  </si>
  <si>
    <t xml:space="preserve">https://tierramadre.app/product/206</t>
  </si>
  <si>
    <t xml:space="preserve">https://drive.google.com/drive/folders/1eW0lyRT4hA1TlfysGVzJbIEYX8noO7Lo</t>
  </si>
  <si>
    <t xml:space="preserve">2026-07-18-reflejo-de-muzo-11-c-item-206</t>
  </si>
  <si>
    <t xml:space="preserve">Tierra 
Sagrada 
(12-1-C)</t>
  </si>
  <si>
    <t xml:space="preserve">Iris</t>
  </si>
  <si>
    <t xml:space="preserve">12.9 × 11.2 × 3.00 mm</t>
  </si>
  <si>
    <t xml:space="preserve">https://tierramadre.app/p/207</t>
  </si>
  <si>
    <t xml:space="preserve">https://tierramadre.app/product/207</t>
  </si>
  <si>
    <t xml:space="preserve">https://drive.google.com/drive/folders/1rza9-dNSA1I1HWLmZSl37cwIMaUaEhSH</t>
  </si>
  <si>
    <t xml:space="preserve">2026-07-18-tierra-sagrada-12-1-c-item-207</t>
  </si>
  <si>
    <t xml:space="preserve">Beso del 
Bosque 
(12-2-C)</t>
  </si>
  <si>
    <t xml:space="preserve">12.4 × 11.2 × 3.00 mm</t>
  </si>
  <si>
    <t xml:space="preserve">https://tierramadre.app/p/208</t>
  </si>
  <si>
    <t xml:space="preserve">https://tierramadre.app/product/208</t>
  </si>
  <si>
    <t xml:space="preserve">https://drive.google.com/drive/folders/1B5OgB0ML-qawT4GAVQ8O4yxyxJ6TipBY</t>
  </si>
  <si>
    <t xml:space="preserve">2026-07-18-beso-del-bosque-12-2-c-item-208</t>
  </si>
  <si>
    <t xml:space="preserve">Gratitud
Verde
(12-3-C)</t>
  </si>
  <si>
    <t xml:space="preserve">6.8 × 12.2 × 6.0 mm</t>
  </si>
  <si>
    <t xml:space="preserve">https://tierramadre.app/p/209</t>
  </si>
  <si>
    <t xml:space="preserve">https://tierramadre.app/product/209</t>
  </si>
  <si>
    <t xml:space="preserve">https://drive.google.com/drive/folders/1jUf1KjSfDEBZ7jmLF2v0QgFvpyZucdRh</t>
  </si>
  <si>
    <t xml:space="preserve">2026-07-18-gratitud-verde-12-3-c-item-209</t>
  </si>
  <si>
    <t xml:space="preserve">Rocas 
Sagradas</t>
  </si>
  <si>
    <t xml:space="preserve">En Bruto-Natural</t>
  </si>
  <si>
    <t xml:space="preserve">https://tierramadre.app/p/210</t>
  </si>
  <si>
    <t xml:space="preserve">https://tierramadre.app/product/210</t>
  </si>
  <si>
    <t xml:space="preserve">https://drive.google.com/drive/folders/1tdItIiC18ETScICMIsFqJ11_73SMwi0D</t>
  </si>
  <si>
    <t xml:space="preserve">2026-07-18-rocas-sagradas-item-210</t>
  </si>
  <si>
    <t xml:space="preserve">Caja (snapshot) registra comprador 'M.Gomez' vs asesor actual 'M.Campuzano' — revisar si son ventas distintas o la copia está desactualizada.</t>
  </si>
  <si>
    <t xml:space="preserve">corazón de 
Fuego</t>
  </si>
  <si>
    <t xml:space="preserve">5.01 × 5.45 × 4.08 mm</t>
  </si>
  <si>
    <t xml:space="preserve">A.Escobar</t>
  </si>
  <si>
    <t xml:space="preserve">https://tierramadre.app/p/211</t>
  </si>
  <si>
    <t xml:space="preserve">Para- Chicago 
11-mar-26</t>
  </si>
  <si>
    <t xml:space="preserve">https://tierramadre.app/product/211</t>
  </si>
  <si>
    <t xml:space="preserve">https://drive.google.com/drive/folders/1vqGL0fCHfc0eh8kQDtKm32anhLzeeI7h</t>
  </si>
  <si>
    <t xml:space="preserve">2026-07-18-corazon-de-fuego-item-211</t>
  </si>
  <si>
    <t xml:space="preserve">Pulsera 
Tenis PT1</t>
  </si>
  <si>
    <t xml:space="preserve">Redonda calibrada</t>
  </si>
  <si>
    <t xml:space="preserve">19 mm</t>
  </si>
  <si>
    <t xml:space="preserve">Pulsera</t>
  </si>
  <si>
    <t xml:space="preserve">https://tierramadre.app/p/212</t>
  </si>
  <si>
    <t xml:space="preserve">Círculos de Poder</t>
  </si>
  <si>
    <t xml:space="preserve">https://tierramadre.app/product/212</t>
  </si>
  <si>
    <t xml:space="preserve">https://drive.google.com/drive/folders/1cxXdbYU_lCOGuqzEu7N2uksnb97IRioc</t>
  </si>
  <si>
    <t xml:space="preserve">2026-07-18-pulsera-tenis-pt1-item-212</t>
  </si>
  <si>
    <t xml:space="preserve">Caja (snapshot) registra comprador 'M.Ruiz' vs asesor actual 'Mitchel Moreno Marin' — revisar si son ventas distintas o la copia está desactualizada.</t>
  </si>
  <si>
    <t xml:space="preserve">26-ene-2026</t>
  </si>
  <si>
    <t xml:space="preserve">Pulsera 
Tenis PT2</t>
  </si>
  <si>
    <t xml:space="preserve">https://tierramadre.app/p/213</t>
  </si>
  <si>
    <t xml:space="preserve">https://tierramadre.app/product/213</t>
  </si>
  <si>
    <t xml:space="preserve">https://drive.google.com/drive/folders/1-iLRM3nUKr0-PV5LYppJ_9rhru-WP_23</t>
  </si>
  <si>
    <t xml:space="preserve">2026-07-18-pulsera-tenis-pt2-item-213</t>
  </si>
  <si>
    <t xml:space="preserve">Pulsera 
Tenis PT3</t>
  </si>
  <si>
    <t xml:space="preserve">https://tierramadre.app/p/214</t>
  </si>
  <si>
    <t xml:space="preserve">https://tierramadre.app/product/214</t>
  </si>
  <si>
    <t xml:space="preserve">https://drive.google.com/drive/folders/1z1Xrc885elkvOY0KHpadhKxJRr3B2C1C</t>
  </si>
  <si>
    <t xml:space="preserve">2026-07-18-pulsera-tenis-pt3-item-214</t>
  </si>
  <si>
    <t xml:space="preserve">Pulsera 
Tenis PT4</t>
  </si>
  <si>
    <t xml:space="preserve">18 mm</t>
  </si>
  <si>
    <t xml:space="preserve">https://tierramadre.app/p/215</t>
  </si>
  <si>
    <t xml:space="preserve">https://tierramadre.app/product/215</t>
  </si>
  <si>
    <t xml:space="preserve">https://drive.google.com/drive/folders/1wdDc0fo3UEt5kMpNZa36L7zp2On2y3u2</t>
  </si>
  <si>
    <t xml:space="preserve">2026-07-18-pulsera-tenis-pt4-item-215</t>
  </si>
  <si>
    <t xml:space="preserve">Pulsera 
Tenis PT5</t>
  </si>
  <si>
    <t xml:space="preserve">https://tierramadre.app/p/216</t>
  </si>
  <si>
    <t xml:space="preserve">https://tierramadre.app/product/216</t>
  </si>
  <si>
    <t xml:space="preserve">https://drive.google.com/drive/folders/1CWWhW6dWmbyAfg5HYziI2IfAjbx1CdBa</t>
  </si>
  <si>
    <t xml:space="preserve">2026-07-18-pulsera-tenis-pt5-item-216</t>
  </si>
  <si>
    <t xml:space="preserve">7-mar-2026</t>
  </si>
  <si>
    <t xml:space="preserve">Sagrada Familia</t>
  </si>
  <si>
    <t xml:space="preserve">5.4 × 4.9 × 5.0 × 3.4 × 4.5 × 4.1 mm</t>
  </si>
  <si>
    <t xml:space="preserve">https://tierramadre.app/p/217</t>
  </si>
  <si>
    <t xml:space="preserve">https://tierramadre.app/product/217</t>
  </si>
  <si>
    <t xml:space="preserve">https://drive.google.com/drive/folders/1uLoXlIK113OGOarp4DSBMI0qkNq6L8Sc</t>
  </si>
  <si>
    <t xml:space="preserve">2026-07-18-sagrada-familia-item-217</t>
  </si>
  <si>
    <t xml:space="preserve">Dinastía 
Real</t>
  </si>
  <si>
    <t xml:space="preserve">7.7 × 4.7 × 3.7 × 5.6 × 7.0 × 5.7 mm</t>
  </si>
  <si>
    <t xml:space="preserve">https://tierramadre.app/p/218</t>
  </si>
  <si>
    <t xml:space="preserve">https://tierramadre.app/product/218</t>
  </si>
  <si>
    <t xml:space="preserve">https://drive.google.com/drive/folders/18uc45IE8CLLOVVt0KL2gEvO9MFVUN3iS</t>
  </si>
  <si>
    <t xml:space="preserve">2026-07-18-dinastia-real-item-218</t>
  </si>
  <si>
    <t xml:space="preserve">peso ct recuperado de serial Excel · Caja (snapshot) registra comprador 'Tierra Madre' vs asesor actual 'Mauricio Echeverry' — revisar si son ventas distintas o la copia está desactualizada.</t>
  </si>
  <si>
    <t xml:space="preserve">Dinastía  
Terrenal</t>
  </si>
  <si>
    <t xml:space="preserve">5.5 × 4.1 × 2.5 × 4.9 × 3.1 × 2..3 mm</t>
  </si>
  <si>
    <t xml:space="preserve">https://tierramadre.app/p/219</t>
  </si>
  <si>
    <t xml:space="preserve">https://tierramadre.app/product/219</t>
  </si>
  <si>
    <t xml:space="preserve">https://drive.google.com/drive/folders/1AvCGpUFQ2fSLYPpCl1HKq-enfBkUf_aR</t>
  </si>
  <si>
    <t xml:space="preserve">2026-07-18-dinastia-terrenal-item-219</t>
  </si>
  <si>
    <t xml:space="preserve">Sol de
 Lluvia</t>
  </si>
  <si>
    <t xml:space="preserve">7.1 × 4.3 × 3.5 mm</t>
  </si>
  <si>
    <t xml:space="preserve">https://tierramadre.app/p/220</t>
  </si>
  <si>
    <t xml:space="preserve">https://tierramadre.app/product/220</t>
  </si>
  <si>
    <t xml:space="preserve">https://drive.google.com/drive/folders/1eFnuOifPuLkuzQ3wvpxRQcjPQm2kbnbb</t>
  </si>
  <si>
    <t xml:space="preserve">2026-07-18-sol-de-lluvia-item-220</t>
  </si>
  <si>
    <t xml:space="preserve">Hermanos 
de la verdad</t>
  </si>
  <si>
    <t xml:space="preserve">https://tierramadre.app/p/221</t>
  </si>
  <si>
    <t xml:space="preserve">https://tierramadre.app/product/221</t>
  </si>
  <si>
    <t xml:space="preserve">https://drive.google.com/drive/folders/1Ns8Q5kCyuzzjNeCQVviqY6G9IFi3BgxM</t>
  </si>
  <si>
    <t xml:space="preserve">2026-07-18-hermanos-de-la-verdad-item-221</t>
  </si>
  <si>
    <t xml:space="preserve">lluvia Infinita</t>
  </si>
  <si>
    <t xml:space="preserve">7.8 × 4.6 × 3.4 × 6.1 × 3.9 × 2.3 mm</t>
  </si>
  <si>
    <t xml:space="preserve">https://tierramadre.app/p/222</t>
  </si>
  <si>
    <t xml:space="preserve">https://tierramadre.app/product/222</t>
  </si>
  <si>
    <t xml:space="preserve">https://drive.google.com/drive/folders/12wlZnUQjGpukA8BHLBqlopw_6ZKRU0JF</t>
  </si>
  <si>
    <t xml:space="preserve">2026-07-18-lluvia-infinita-item-222</t>
  </si>
  <si>
    <t xml:space="preserve">Alas de
 Mariposa</t>
  </si>
  <si>
    <t xml:space="preserve">10.6 × 6.4 × 1.7 × 10.1 × 6.6 × 2.1 mm</t>
  </si>
  <si>
    <t xml:space="preserve">https://tierramadre.app/p/223</t>
  </si>
  <si>
    <t xml:space="preserve">https://tierramadre.app/product/223</t>
  </si>
  <si>
    <t xml:space="preserve">https://drive.google.com/drive/folders/1WuEpMD20rdqm9YMTypqhs9IRtVSrrgrG</t>
  </si>
  <si>
    <t xml:space="preserve">2026-07-18-alas-de-mariposa-item-223</t>
  </si>
  <si>
    <t xml:space="preserve">Flor de
 la Vida</t>
  </si>
  <si>
    <t xml:space="preserve">13.2 × 9.7 × 1.4 mm</t>
  </si>
  <si>
    <t xml:space="preserve">https://tierramadre.app/p/224</t>
  </si>
  <si>
    <t xml:space="preserve">https://tierramadre.app/product/224</t>
  </si>
  <si>
    <t xml:space="preserve">https://drive.google.com/drive/folders/1wD70niI2gA0kbOw2EeNVYSdS0WlpTK0z</t>
  </si>
  <si>
    <t xml:space="preserve">2026-07-18-flor-de-la-vida-item-224</t>
  </si>
  <si>
    <t xml:space="preserve">28-feb-2026</t>
  </si>
  <si>
    <t xml:space="preserve">Estrella</t>
  </si>
  <si>
    <t xml:space="preserve">Dije</t>
  </si>
  <si>
    <t xml:space="preserve">https://tierramadre.app/p/225</t>
  </si>
  <si>
    <t xml:space="preserve">https://tierramadre.app/product/225</t>
  </si>
  <si>
    <t xml:space="preserve">https://drive.google.com/drive/folders/1Hd5WDK6ilhJW65whA9jOBzz5YTDOs2xc</t>
  </si>
  <si>
    <t xml:space="preserve">2026-07-18-estrella-item-225</t>
  </si>
  <si>
    <t xml:space="preserve">Rey de 
Cristal</t>
  </si>
  <si>
    <t xml:space="preserve">COMERCIAL</t>
  </si>
  <si>
    <t xml:space="preserve">1 mm</t>
  </si>
  <si>
    <t xml:space="preserve">https://tierramadre.app/p/226</t>
  </si>
  <si>
    <t xml:space="preserve">https://tierramadre.app/product/226</t>
  </si>
  <si>
    <t xml:space="preserve">https://drive.google.com/drive/folders/1Fna_OgmNw2gCQiWONLnhal8WNRxGgW8k</t>
  </si>
  <si>
    <t xml:space="preserve">2026-07-18-rey-de-cristal-item-226</t>
  </si>
  <si>
    <t xml:space="preserve">Principe de 
Cristal</t>
  </si>
  <si>
    <t xml:space="preserve">https://tierramadre.app/p/227</t>
  </si>
  <si>
    <t xml:space="preserve">https://tierramadre.app/product/227</t>
  </si>
  <si>
    <t xml:space="preserve">https://drive.google.com/drive/folders/14uT6Wqtit2mCxObl3rhglORyQ7DujMvd</t>
  </si>
  <si>
    <t xml:space="preserve">2026-07-18-principe-de-cristal-item-227</t>
  </si>
  <si>
    <t xml:space="preserve">Imaginación</t>
  </si>
  <si>
    <t xml:space="preserve">10.0 × 11.9 × 9.3 mm</t>
  </si>
  <si>
    <t xml:space="preserve">https://tierramadre.app/p/228</t>
  </si>
  <si>
    <t xml:space="preserve">https://tierramadre.app/product/228</t>
  </si>
  <si>
    <t xml:space="preserve">https://drive.google.com/drive/folders/1TkV-Y6AjmtaLY4fK9lLI8miUy3lheUWF</t>
  </si>
  <si>
    <t xml:space="preserve">2026-07-18-imaginacion-item-228</t>
  </si>
  <si>
    <t xml:space="preserve">Caja (snapshot) registra comprador 'J.I.Florez' vs asesor actual 'Tierra Madre' — revisar si son ventas distintas o la copia está desactualizada.</t>
  </si>
  <si>
    <t xml:space="preserve">Madrugada
Radiante</t>
  </si>
  <si>
    <t xml:space="preserve">11 mm</t>
  </si>
  <si>
    <t xml:space="preserve">https://tierramadre.app/p/229</t>
  </si>
  <si>
    <t xml:space="preserve">https://tierramadre.app/product/229</t>
  </si>
  <si>
    <t xml:space="preserve">https://drive.google.com/drive/folders/1ISVc_k1zdzULqTEsR8eTP_suQy1DQExi</t>
  </si>
  <si>
    <t xml:space="preserve">2026-07-18-madrugada-radiante-item-229</t>
  </si>
  <si>
    <t xml:space="preserve">Caja (snapshot) registra comprador 'M.Gomez' vs asesor actual 'Tierra Madre' — revisar si son ventas distintas o la copia está desactualizada.</t>
  </si>
  <si>
    <t xml:space="preserve">Secreto 
de la Montaña</t>
  </si>
  <si>
    <t xml:space="preserve">10.0 × 10.7 × 9.1 mm</t>
  </si>
  <si>
    <t xml:space="preserve">https://tierramadre.app/p/230</t>
  </si>
  <si>
    <t xml:space="preserve">https://tierramadre.app/product/230</t>
  </si>
  <si>
    <t xml:space="preserve">https://drive.google.com/drive/folders/1QPHO-9Ljhvc5ceMPmFhiBvqMWsQNV0Xo</t>
  </si>
  <si>
    <t xml:space="preserve">2026-07-18-secreto-de-la-montana-item-230</t>
  </si>
  <si>
    <t xml:space="preserve">Lucerito</t>
  </si>
  <si>
    <t xml:space="preserve">8.5 × 8.8 × 7.7 mm</t>
  </si>
  <si>
    <t xml:space="preserve">https://tierramadre.app/p/231</t>
  </si>
  <si>
    <t xml:space="preserve">https://tierramadre.app/product/231</t>
  </si>
  <si>
    <t xml:space="preserve">https://drive.google.com/drive/folders/1Uzd0IwtWXXzrahqjKmhiRckmCN2EwNOS</t>
  </si>
  <si>
    <t xml:space="preserve">2026-07-18-lucerito-item-231</t>
  </si>
  <si>
    <t xml:space="preserve">Empatía Divina</t>
  </si>
  <si>
    <t xml:space="preserve">https://tierramadre.app/p/232</t>
  </si>
  <si>
    <t xml:space="preserve">https://tierramadre.app/product/232</t>
  </si>
  <si>
    <t xml:space="preserve">https://drive.google.com/drive/folders/1XITY4sL0cPTwpsK6zdA9EmQJTSKBCUbE</t>
  </si>
  <si>
    <t xml:space="preserve">2026-07-18-empatia-divina-item-232</t>
  </si>
  <si>
    <t xml:space="preserve">Invierno</t>
  </si>
  <si>
    <t xml:space="preserve">https://tierramadre.app/p/233</t>
  </si>
  <si>
    <t xml:space="preserve">https://tierramadre.app/product/233</t>
  </si>
  <si>
    <t xml:space="preserve">https://drive.google.com/drive/folders/1Iu-3xqajg5v0NIsCk4eslWNvy9r9u52S</t>
  </si>
  <si>
    <t xml:space="preserve">2026-07-13-invierno-item-233</t>
  </si>
  <si>
    <t xml:space="preserve">Calidad difiere: legacy=Comercial Fina vs modeloPrecios=C. Fina | Caja (snapshot) registra comprador 'Tierra Madre' vs asesor actual 'M.Campuzano' — revisar si son ventas distintas o la copia está desactualizada.</t>
  </si>
  <si>
    <t xml:space="preserve">Atardecer</t>
  </si>
  <si>
    <t xml:space="preserve">https://tierramadre.app/p/234</t>
  </si>
  <si>
    <t xml:space="preserve">https://tierramadre.app/product/234</t>
  </si>
  <si>
    <t xml:space="preserve">https://drive.google.com/drive/folders/12sAhg5cK0iZ8IowmLL5swCX0LijGfocb</t>
  </si>
  <si>
    <t xml:space="preserve">2026-07-13-atardecer-item-234</t>
  </si>
  <si>
    <t xml:space="preserve">Corona de Jaguar</t>
  </si>
  <si>
    <t xml:space="preserve">https://tierramadre.app/p/235</t>
  </si>
  <si>
    <t xml:space="preserve">https://tierramadre.app/product/235</t>
  </si>
  <si>
    <t xml:space="preserve">https://drive.google.com/drive/folders/1PYrAtT2SP280T4871h6QMGcX2OI_hEol</t>
  </si>
  <si>
    <t xml:space="preserve">2026-07-18-corona-de-jaguar-item-235</t>
  </si>
  <si>
    <t xml:space="preserve">Vuelo del 
Tiempo</t>
  </si>
  <si>
    <t xml:space="preserve">https://tierramadre.app/p/236</t>
  </si>
  <si>
    <t xml:space="preserve">https://tierramadre.app/product/236</t>
  </si>
  <si>
    <t xml:space="preserve">https://drive.google.com/drive/folders/1_lk_lp4VRYPdTF0T0Q9PIEs3_cYCLxLk</t>
  </si>
  <si>
    <t xml:space="preserve">2026-07-13-vuelo-del-tiempo-item-236</t>
  </si>
  <si>
    <t xml:space="preserve">Andromeda</t>
  </si>
  <si>
    <t xml:space="preserve">4.7 × 5 mm</t>
  </si>
  <si>
    <t xml:space="preserve">https://tierramadre.app/p/237</t>
  </si>
  <si>
    <t xml:space="preserve">https://tierramadre.app/product/237</t>
  </si>
  <si>
    <t xml:space="preserve">https://drive.google.com/drive/folders/16AtAXzL16F5U-0RarZqeW_eNwIB0_0OB</t>
  </si>
  <si>
    <t xml:space="preserve">2026-07-10-andromeda-item-237</t>
  </si>
  <si>
    <t xml:space="preserve">Calidad difiere: legacy=COMERCIAL FINA vs modeloPrecios=C. Fina | Caja (snapshot) registra comprador 'Tierra Madre' vs asesor actual 'M.Campuzano' — revisar si son ventas distintas o la copia está desactualizada. · medida extraída de nota (verificar)</t>
  </si>
  <si>
    <t xml:space="preserve">Encantada</t>
  </si>
  <si>
    <t xml:space="preserve">5 × 4.8 mm</t>
  </si>
  <si>
    <t xml:space="preserve">https://tierramadre.app/p/238</t>
  </si>
  <si>
    <t xml:space="preserve">https://tierramadre.app/product/238</t>
  </si>
  <si>
    <t xml:space="preserve">https://drive.google.com/drive/folders/15WfiIvia9ft1pkqhxhyFrenj3NCnLDGP</t>
  </si>
  <si>
    <t xml:space="preserve">2026-07-10-encantada-item-238</t>
  </si>
  <si>
    <t xml:space="preserve">Misterio de 
la Noche</t>
  </si>
  <si>
    <t xml:space="preserve">4.9 × 5 mm</t>
  </si>
  <si>
    <t xml:space="preserve">https://tierramadre.app/p/239</t>
  </si>
  <si>
    <t xml:space="preserve">https://tierramadre.app/product/239</t>
  </si>
  <si>
    <t xml:space="preserve">https://drive.google.com/drive/folders/1iQV0T0JEvJQxN57cNsm36tEyFoSVDieA</t>
  </si>
  <si>
    <t xml:space="preserve">2026-07-10-misterio-de-la-noche-item-239</t>
  </si>
  <si>
    <t xml:space="preserve">Caja (snapshot) registra comprador 'Tierra Madre' vs asesor actual 'M.Campuzano' — revisar si son ventas distintas o la copia está desactualizada. · medida extraída de nota (verificar)</t>
  </si>
  <si>
    <t xml:space="preserve">Despertar</t>
  </si>
  <si>
    <t xml:space="preserve">https://tierramadre.app/p/240</t>
  </si>
  <si>
    <t xml:space="preserve">https://tierramadre.app/product/240</t>
  </si>
  <si>
    <t xml:space="preserve">https://drive.google.com/drive/folders/1oxvtRjeOIZq1hRluoGXYiL2970nL8t4t</t>
  </si>
  <si>
    <t xml:space="preserve">2026-07-13-despertar-item-240</t>
  </si>
  <si>
    <t xml:space="preserve">Era Esmeralda</t>
  </si>
  <si>
    <t xml:space="preserve">https://tierramadre.app/p/241</t>
  </si>
  <si>
    <t xml:space="preserve">https://tierramadre.app/product/241</t>
  </si>
  <si>
    <t xml:space="preserve">https://drive.google.com/drive/folders/11KiD2b2ITAdyyvpPUcGDzf1xwspKbk0s</t>
  </si>
  <si>
    <t xml:space="preserve">2026-07-10-ra-item-241</t>
  </si>
  <si>
    <t xml:space="preserve">Amanecer</t>
  </si>
  <si>
    <t xml:space="preserve">https://tierramadre.app/p/242</t>
  </si>
  <si>
    <t xml:space="preserve">https://tierramadre.app/product/242</t>
  </si>
  <si>
    <t xml:space="preserve">https://drive.google.com/drive/folders/1onpRqRWkixtAvnFntYQkXDSbZOIfunMt</t>
  </si>
  <si>
    <t xml:space="preserve">2026-07-13-amanecer-item-242</t>
  </si>
  <si>
    <t xml:space="preserve">Ternura
 Luminosa</t>
  </si>
  <si>
    <t xml:space="preserve">https://tierramadre.app/p/243</t>
  </si>
  <si>
    <t xml:space="preserve">https://tierramadre.app/product/243</t>
  </si>
  <si>
    <t xml:space="preserve">https://drive.google.com/drive/folders/17fKCrOJK-HN-GlCS_m_yTyKl4UqDy5rv</t>
  </si>
  <si>
    <t xml:space="preserve">2026-07-13-ternura-luminosa-item-243</t>
  </si>
  <si>
    <t xml:space="preserve">Canto 
de la Selva</t>
  </si>
  <si>
    <t xml:space="preserve">https://tierramadre.app/p/244</t>
  </si>
  <si>
    <t xml:space="preserve">https://tierramadre.app/product/244</t>
  </si>
  <si>
    <t xml:space="preserve">https://drive.google.com/drive/folders/12QHLwGd6292WHX2I9bozjfc861m2WyCQ</t>
  </si>
  <si>
    <t xml:space="preserve">2026-07-13-canto-de-la-selva-item-244</t>
  </si>
  <si>
    <t xml:space="preserve">Canto 
del Alba</t>
  </si>
  <si>
    <t xml:space="preserve">https://tierramadre.app/p/245</t>
  </si>
  <si>
    <t xml:space="preserve">https://tierramadre.app/product/245</t>
  </si>
  <si>
    <t xml:space="preserve">https://drive.google.com/drive/folders/1lawQM-eOFK3neuehKnTc3dPz1NQs6_Ec</t>
  </si>
  <si>
    <t xml:space="preserve">2026-07-15-modelo-item-245-canto-del-alba</t>
  </si>
  <si>
    <t xml:space="preserve">Danza 
del Bosque</t>
  </si>
  <si>
    <t xml:space="preserve">https://tierramadre.app/p/246</t>
  </si>
  <si>
    <t xml:space="preserve">https://tierramadre.app/product/246</t>
  </si>
  <si>
    <t xml:space="preserve">https://drive.google.com/drive/folders/1nFL4Or5upvYC6yAd3_evoZKidIB0pnh7</t>
  </si>
  <si>
    <t xml:space="preserve">2026-07-10-danza-del-bosque-item-246</t>
  </si>
  <si>
    <t xml:space="preserve">Calidad difiere: legacy=COMERCIAL SÚPER FINA vs modeloPrecios=C. Fina | Caja (snapshot) registra comprador 'Tierra Madre' vs asesor actual 'M.Campuzano' — revisar si son ventas distintas o la copia está desactualizada.</t>
  </si>
  <si>
    <t xml:space="preserve">Eternidad</t>
  </si>
  <si>
    <t xml:space="preserve">https://tierramadre.app/p/247</t>
  </si>
  <si>
    <t xml:space="preserve">En Forma de Pago 
Lola</t>
  </si>
  <si>
    <t xml:space="preserve">https://tierramadre.app/product/247</t>
  </si>
  <si>
    <t xml:space="preserve">https://drive.google.com/drive/folders/199D4f9Y1p7I5TKVFglQxQtIyFqCG-XVz</t>
  </si>
  <si>
    <t xml:space="preserve">2026-07-18-eternidad-item-247</t>
  </si>
  <si>
    <t xml:space="preserve">Reflejo del Alba</t>
  </si>
  <si>
    <t xml:space="preserve">https://tierramadre.app/p/248</t>
  </si>
  <si>
    <t xml:space="preserve">https://tierramadre.app/product/248</t>
  </si>
  <si>
    <t xml:space="preserve">https://drive.google.com/drive/folders/1QlOUkVkIwgCaXjd9WMuMW39qWDso8Jez</t>
  </si>
  <si>
    <t xml:space="preserve">2026-07-13-reflejo-del-alba-item-248</t>
  </si>
  <si>
    <t xml:space="preserve">Cielo Profundo</t>
  </si>
  <si>
    <t xml:space="preserve">https://tierramadre.app/p/249</t>
  </si>
  <si>
    <t xml:space="preserve">https://tierramadre.app/product/249</t>
  </si>
  <si>
    <t xml:space="preserve">https://drive.google.com/drive/folders/1OWMJRXrMXIw1t7emAcqSHsnEY48K1ZyR</t>
  </si>
  <si>
    <t xml:space="preserve">2026-07-18-cielo-profundo-item-249</t>
  </si>
  <si>
    <t xml:space="preserve">Boreal Divina</t>
  </si>
  <si>
    <t xml:space="preserve">https://tierramadre.app/p/250</t>
  </si>
  <si>
    <t xml:space="preserve">https://tierramadre.app/product/250</t>
  </si>
  <si>
    <t xml:space="preserve">https://drive.google.com/drive/folders/1DRma3tH4mZt57LfunTf5jDvLuuVssTNd</t>
  </si>
  <si>
    <t xml:space="preserve">2026-07-10-boreal-divina-item-250</t>
  </si>
  <si>
    <t xml:space="preserve">Calidad difiere: legacy=COMERCIAL FINA vs modeloPrecios=C. Superior | Caja (snapshot) registra comprador 'Tierra Madre' vs asesor actual 'M.Campuzano' — revisar si son ventas distintas o la copia está desactualizada.</t>
  </si>
  <si>
    <t xml:space="preserve">Divina 
presencia</t>
  </si>
  <si>
    <t xml:space="preserve">https://tierramadre.app/p/251</t>
  </si>
  <si>
    <t xml:space="preserve">https://tierramadre.app/product/251</t>
  </si>
  <si>
    <t xml:space="preserve">https://drive.google.com/drive/folders/1y6y07d1PXoLjce2OZXl8Fc6Re0Cfgl2D</t>
  </si>
  <si>
    <t xml:space="preserve">2026-07-13-divina-presencia-item-251</t>
  </si>
  <si>
    <t xml:space="preserve">Fe 
Inquebrantable</t>
  </si>
  <si>
    <t xml:space="preserve">https://tierramadre.app/p/252</t>
  </si>
  <si>
    <t xml:space="preserve">https://tierramadre.app/product/252</t>
  </si>
  <si>
    <t xml:space="preserve">https://drive.google.com/drive/folders/1vRqtHyAjHL05RzNcmSyl5Pa_g0gv39R9</t>
  </si>
  <si>
    <t xml:space="preserve">2026-07-18-fe-inquebrantable-item-252</t>
  </si>
  <si>
    <t xml:space="preserve">Verde 
Luminoso</t>
  </si>
  <si>
    <t xml:space="preserve">https://tierramadre.app/p/253</t>
  </si>
  <si>
    <t xml:space="preserve">https://tierramadre.app/product/253</t>
  </si>
  <si>
    <t xml:space="preserve">https://drive.google.com/drive/folders/17RfA0XbPritytyWDtZ7mT5IA2IBxlv14</t>
  </si>
  <si>
    <t xml:space="preserve">2026-07-18-verde-luminoso-item-253</t>
  </si>
  <si>
    <t xml:space="preserve">Verde Divina</t>
  </si>
  <si>
    <t xml:space="preserve">https://tierramadre.app/p/254</t>
  </si>
  <si>
    <t xml:space="preserve">https://tierramadre.app/product/254</t>
  </si>
  <si>
    <t xml:space="preserve">https://drive.google.com/drive/folders/1RCexPHnrUEWtyHxTlVAJVuTeVbTjw91C</t>
  </si>
  <si>
    <t xml:space="preserve">2026-07-18-verde-divina-item-254</t>
  </si>
  <si>
    <t xml:space="preserve">Esperanza 
Verde Verde</t>
  </si>
  <si>
    <t xml:space="preserve">https://tierramadre.app/p/255</t>
  </si>
  <si>
    <t xml:space="preserve">https://tierramadre.app/product/255</t>
  </si>
  <si>
    <t xml:space="preserve">https://drive.google.com/drive/folders/1nALUndeEQ_18CV8ZtQ3Mp106or_THLsR</t>
  </si>
  <si>
    <t xml:space="preserve">2026-07-18-esperanza-verde-verde-item-255</t>
  </si>
  <si>
    <t xml:space="preserve">Cronos</t>
  </si>
  <si>
    <t xml:space="preserve">https://tierramadre.app/p/256</t>
  </si>
  <si>
    <t xml:space="preserve">https://tierramadre.app/product/256</t>
  </si>
  <si>
    <t xml:space="preserve">https://drive.google.com/drive/folders/1AqQ4UPOGulceQQkyOJCz5uCb0CAvq0JM</t>
  </si>
  <si>
    <t xml:space="preserve">2026-07-18-cronos-item-256</t>
  </si>
  <si>
    <t xml:space="preserve">Luz de 
Firmamento</t>
  </si>
  <si>
    <t xml:space="preserve">2.9 mm</t>
  </si>
  <si>
    <t xml:space="preserve">https://tierramadre.app/p/257</t>
  </si>
  <si>
    <t xml:space="preserve">C-047</t>
  </si>
  <si>
    <t xml:space="preserve">https://tierramadre.app/product/257</t>
  </si>
  <si>
    <t xml:space="preserve">https://drive.google.com/drive/folders/16CmaCsNUKj3ehoAHj9XP67eOt4ziZnS0</t>
  </si>
  <si>
    <t xml:space="preserve">2026-07-10-luz-del-firmamento-item-257</t>
  </si>
  <si>
    <t xml:space="preserve">Linda 
Estrella</t>
  </si>
  <si>
    <t xml:space="preserve">2.6 mm</t>
  </si>
  <si>
    <t xml:space="preserve">https://tierramadre.app/p/258</t>
  </si>
  <si>
    <t xml:space="preserve">https://tierramadre.app/product/258</t>
  </si>
  <si>
    <t xml:space="preserve">https://drive.google.com/drive/folders/11-BgB4Ldnrw3IvLvkhrHYUZt7Oi2q_WY</t>
  </si>
  <si>
    <t xml:space="preserve">2026-07-18-linda-estrella-item-258</t>
  </si>
  <si>
    <t xml:space="preserve">Gotita 
de Amor</t>
  </si>
  <si>
    <t xml:space="preserve">3.6 × 2.4 × 1.8 mm</t>
  </si>
  <si>
    <t xml:space="preserve">https://tierramadre.app/p/259</t>
  </si>
  <si>
    <t xml:space="preserve">C-075</t>
  </si>
  <si>
    <t xml:space="preserve">https://tierramadre.app/product/259</t>
  </si>
  <si>
    <t xml:space="preserve">https://drive.google.com/drive/folders/1ZVMgv52pYsXpA9ubuuk0YoEi1D7-tsk0</t>
  </si>
  <si>
    <t xml:space="preserve">2026-07-13-gotita-de-amor-item-259</t>
  </si>
  <si>
    <t xml:space="preserve">Perlita</t>
  </si>
  <si>
    <t xml:space="preserve">2.8 mm</t>
  </si>
  <si>
    <t xml:space="preserve">https://tierramadre.app/p/260</t>
  </si>
  <si>
    <t xml:space="preserve">https://tierramadre.app/product/260</t>
  </si>
  <si>
    <t xml:space="preserve">https://drive.google.com/drive/folders/1T87qHet6gBjdG8BXi8n046kWJOfJQbRs</t>
  </si>
  <si>
    <t xml:space="preserve">2026-07-10-perlita-item-260</t>
  </si>
  <si>
    <t xml:space="preserve">Ojitos del Mar</t>
  </si>
  <si>
    <t xml:space="preserve">2 mm</t>
  </si>
  <si>
    <t xml:space="preserve">Ana Maria Peláez</t>
  </si>
  <si>
    <t xml:space="preserve">https://tierramadre.app/p/261</t>
  </si>
  <si>
    <t xml:space="preserve">C-071</t>
  </si>
  <si>
    <t xml:space="preserve">https://tierramadre.app/product/261</t>
  </si>
  <si>
    <t xml:space="preserve">https://drive.google.com/drive/folders/1fNSCht9dtnm1vbG-qjZ8bZJ9rz-yBDC1</t>
  </si>
  <si>
    <t xml:space="preserve">2026-07-13-ojitos-del-mar-item-261</t>
  </si>
  <si>
    <t xml:space="preserve">Calidad difiere: legacy=Comercial Superfina vs modeloPrecios=C. Super Fina | Caja (snapshot) registra comprador 'Ana Maria Pelaez' vs asesor actual 'Ana Maria Peláez' — revisar si son ventas distintas o la copia está desactualizada.</t>
  </si>
  <si>
    <t xml:space="preserve">Raiz Bambu</t>
  </si>
  <si>
    <t xml:space="preserve">https://tierramadre.app/p/262</t>
  </si>
  <si>
    <t xml:space="preserve">https://tierramadre.app/product/262</t>
  </si>
  <si>
    <t xml:space="preserve">https://drive.google.com/drive/folders/1li3ROv3l4VUxjawOluzbq0oWUIIQbW5U</t>
  </si>
  <si>
    <t xml:space="preserve">2026-07-18-raiz-bambu-item-262</t>
  </si>
  <si>
    <t xml:space="preserve">Capricornio</t>
  </si>
  <si>
    <t xml:space="preserve">3.7 × 3.7 mm</t>
  </si>
  <si>
    <t xml:space="preserve">https://tierramadre.app/p/263</t>
  </si>
  <si>
    <t xml:space="preserve">Madres</t>
  </si>
  <si>
    <t xml:space="preserve">https://tierramadre.app/product/263</t>
  </si>
  <si>
    <t xml:space="preserve">https://drive.google.com/drive/folders/1Y4HZVdPjhU8j_st4j6llgu9f6hSzFdNK</t>
  </si>
  <si>
    <t xml:space="preserve">2026-07-10-capricornio-item-263 · 2026-07-13-capricornio-item-263</t>
  </si>
  <si>
    <t xml:space="preserve">Calidad difiere: legacy=COMERCIAL SÚPER FINA vs modeloPrecios=Fina comercial | Caja (snapshot) registra comprador 'Tierra Madre' vs asesor actual 'M.Campuzano' — revisar si son ventas distintas o la copia está desactualizada.</t>
  </si>
  <si>
    <t xml:space="preserve">27-abr-2026</t>
  </si>
  <si>
    <t xml:space="preserve">Pegasus</t>
  </si>
  <si>
    <t xml:space="preserve">4.3 × 3.2 × 2.6 mm</t>
  </si>
  <si>
    <t xml:space="preserve">Mauricio Echeverry Naranjo</t>
  </si>
  <si>
    <t xml:space="preserve">https://tierramadre.app/p/264</t>
  </si>
  <si>
    <t xml:space="preserve">C-072</t>
  </si>
  <si>
    <t xml:space="preserve">https://tierramadre.app/product/264</t>
  </si>
  <si>
    <t xml:space="preserve">https://drive.google.com/drive/folders/1YeOncUv7xTwHS-DoAbnre5TpsVn4ctZF</t>
  </si>
  <si>
    <t xml:space="preserve">2026-07-13-pegasus-item-264</t>
  </si>
  <si>
    <t xml:space="preserve">Caja (snapshot) registra comprador 'Tierra Madre' vs asesor actual 'Mauricio Echeverry Naranjo' — revisar si son ventas distintas o la copia está desactualizada.</t>
  </si>
  <si>
    <t xml:space="preserve">Taurus</t>
  </si>
  <si>
    <t xml:space="preserve">5.3 × 4.7 × 2.8 mm</t>
  </si>
  <si>
    <t xml:space="preserve">https://tierramadre.app/p/265</t>
  </si>
  <si>
    <t xml:space="preserve">https://tierramadre.app/product/265</t>
  </si>
  <si>
    <t xml:space="preserve">https://drive.google.com/drive/folders/17RFuCSQ7dXRx1e9AiwC9NHCCtXhnux8X</t>
  </si>
  <si>
    <t xml:space="preserve">2026-07-16-taurus-item-265</t>
  </si>
  <si>
    <t xml:space="preserve">Caja (snapshot) registra comprador 'Tierra Madre' vs asesor actual 'Mario Gomez' — revisar si son ventas distintas o la copia está desactualizada.</t>
  </si>
  <si>
    <t xml:space="preserve">1900-01-01 14:24:00</t>
  </si>
  <si>
    <t xml:space="preserve">https://tierramadre.app/p/266</t>
  </si>
  <si>
    <t xml:space="preserve">https://tierramadre.app/product/266</t>
  </si>
  <si>
    <t xml:space="preserve">https://drive.google.com/drive/folders/1dnY33ayylwYYIfRumZ4FaunRCTq1e7Kc</t>
  </si>
  <si>
    <t xml:space="preserve">2026-07-18-1-6-item-266</t>
  </si>
  <si>
    <t xml:space="preserve">Caja (snapshot) registra comprador 'Tierra Madre' vs asesor actual 'M.Campuzano' — revisar si son ventas distintas o la copia está desactualizada. · costo estimado = precio/2.6 (sin costo registrado)</t>
  </si>
  <si>
    <t xml:space="preserve">1900-01-01 16:48:00</t>
  </si>
  <si>
    <t xml:space="preserve">https://tierramadre.app/p/267</t>
  </si>
  <si>
    <t xml:space="preserve">https://tierramadre.app/product/267</t>
  </si>
  <si>
    <t xml:space="preserve">https://drive.google.com/drive/folders/1lH_I1RchuqX0ifoEonpqpLB0NgW58bhj</t>
  </si>
  <si>
    <t xml:space="preserve">2026-07-18-1-7-item-267</t>
  </si>
  <si>
    <t xml:space="preserve">1900-01-01 19:12:00</t>
  </si>
  <si>
    <t xml:space="preserve">https://tierramadre.app/p/268</t>
  </si>
  <si>
    <t xml:space="preserve">https://tierramadre.app/product/268</t>
  </si>
  <si>
    <t xml:space="preserve">https://drive.google.com/drive/folders/1HiApvMZ3Gz2CzqqtkliAXx9hyikIkQ0T</t>
  </si>
  <si>
    <t xml:space="preserve">2026-07-18-1-8-item-268</t>
  </si>
  <si>
    <t xml:space="preserve">Susurro del
 Bosque</t>
  </si>
  <si>
    <t xml:space="preserve">5.3 × 4.0 × 3.2 mm</t>
  </si>
  <si>
    <t xml:space="preserve">https://tierramadre.app/p/269</t>
  </si>
  <si>
    <t xml:space="preserve">https://tierramadre.app/product/269</t>
  </si>
  <si>
    <t xml:space="preserve">https://drive.google.com/drive/folders/1Zg9neIKoQXs1WBrwMJf_B3luqVGzSDSn</t>
  </si>
  <si>
    <t xml:space="preserve">2026-07-18-susurro-del-bosque-item-269</t>
  </si>
  <si>
    <t xml:space="preserve">1900-01-01 02:24:00</t>
  </si>
  <si>
    <t xml:space="preserve">https://tierramadre.app/p/270</t>
  </si>
  <si>
    <t xml:space="preserve">https://tierramadre.app/product/270</t>
  </si>
  <si>
    <t xml:space="preserve">https://drive.google.com/drive/folders/1gzsXCQYdkAOYDpbeGo7B-pzKdXQ8yx9g</t>
  </si>
  <si>
    <t xml:space="preserve">2026-07-18-1-1-item-270</t>
  </si>
  <si>
    <t xml:space="preserve">Divina 
Casualidad</t>
  </si>
  <si>
    <t xml:space="preserve">Brielatt</t>
  </si>
  <si>
    <t xml:space="preserve">https://tierramadre.app/p/271</t>
  </si>
  <si>
    <t xml:space="preserve">https://tierramadre.app/product/271</t>
  </si>
  <si>
    <t xml:space="preserve">https://drive.google.com/drive/folders/1BG3LgFLrmoth2Bn5G_Sn0Gw3i_Ovzx6G</t>
  </si>
  <si>
    <t xml:space="preserve">2026-07-18-divina-casualidad-item-271</t>
  </si>
  <si>
    <t xml:space="preserve">Caja (snapshot) registra comprador 'Paola Daza' vs asesor actual 'Brielatt' — revisar si son ventas distintas o la copia está desactualizada.</t>
  </si>
  <si>
    <t xml:space="preserve">2.2
Luna
Creciente</t>
  </si>
  <si>
    <t xml:space="preserve">https://tierramadre.app/p/272</t>
  </si>
  <si>
    <t xml:space="preserve">C-073</t>
  </si>
  <si>
    <t xml:space="preserve">https://tierramadre.app/product/272</t>
  </si>
  <si>
    <t xml:space="preserve">https://drive.google.com/drive/folders/1Pw3N5lYL710rkp_lzDM30r_iBSJku7Me</t>
  </si>
  <si>
    <t xml:space="preserve">2026-07-13-luna-creciente-item-272</t>
  </si>
  <si>
    <t xml:space="preserve">Calidad difiere: legacy=Comercial Fina vs modeloPrecios=C. Super Fina | Caja (snapshot) registra comprador 'Ana Maria Pelaez' vs asesor actual 'Ana Maria Peláez' — revisar si son ventas distintas o la copia está desactualizada.</t>
  </si>
  <si>
    <t xml:space="preserve">1900-01-02 07:12:00</t>
  </si>
  <si>
    <t xml:space="preserve">https://tierramadre.app/p/273</t>
  </si>
  <si>
    <t xml:space="preserve">https://tierramadre.app/product/273</t>
  </si>
  <si>
    <t xml:space="preserve">https://drive.google.com/drive/folders/1yDogIF9GRzl2GgfKx1OWNaNKGkkBb8GV</t>
  </si>
  <si>
    <t xml:space="preserve">2026-07-18-2-3-item-273</t>
  </si>
  <si>
    <t xml:space="preserve">Cáncer</t>
  </si>
  <si>
    <t xml:space="preserve">https://tierramadre.app/p/274</t>
  </si>
  <si>
    <t xml:space="preserve">https://tierramadre.app/product/274</t>
  </si>
  <si>
    <t xml:space="preserve">https://drive.google.com/drive/folders/1KKyuRVRtez0_adCLixTSlEO756ocDDmz</t>
  </si>
  <si>
    <t xml:space="preserve">2026-07-13-cancer-item-274</t>
  </si>
  <si>
    <t xml:space="preserve">1900-01-02 12:00:00</t>
  </si>
  <si>
    <t xml:space="preserve">https://tierramadre.app/p/275</t>
  </si>
  <si>
    <t xml:space="preserve">https://tierramadre.app/product/275</t>
  </si>
  <si>
    <t xml:space="preserve">https://drive.google.com/drive/folders/1t79O9nw2_NJ7aTKbTlfTSWeJm4FcfKtq</t>
  </si>
  <si>
    <t xml:space="preserve">2026-07-18-2-5-item-275</t>
  </si>
  <si>
    <t xml:space="preserve">Trinity</t>
  </si>
  <si>
    <t xml:space="preserve">4.2 × 4.0 × 2.3 mm</t>
  </si>
  <si>
    <t xml:space="preserve">https://tierramadre.app/p/276</t>
  </si>
  <si>
    <t xml:space="preserve">https://tierramadre.app/product/276</t>
  </si>
  <si>
    <t xml:space="preserve">https://drive.google.com/drive/folders/16LqUCiNPu3RwU0fitnGCAm2Sf4oc-G3Z</t>
  </si>
  <si>
    <t xml:space="preserve">2026-07-13-trinity-item-276</t>
  </si>
  <si>
    <t xml:space="preserve">Calidad difiere: legacy=Comercial Fina vs modeloPrecios=C. Super Fina | Caja (snapshot) registra comprador 'Tierra Madre' vs asesor actual 'M.Campuzano' — revisar si son ventas distintas o la copia está desactualizada. · costo estimado = precio/2.6 (sin costo registrado)</t>
  </si>
  <si>
    <t xml:space="preserve">1900-01-02 16:48:00</t>
  </si>
  <si>
    <t xml:space="preserve">https://tierramadre.app/p/277</t>
  </si>
  <si>
    <t xml:space="preserve">https://tierramadre.app/product/277</t>
  </si>
  <si>
    <t xml:space="preserve">https://drive.google.com/drive/folders/1grpjEcWpSva_3ZnPGmuaSm7xlZI0ih0X</t>
  </si>
  <si>
    <t xml:space="preserve">2026-07-18-2-7-item-277</t>
  </si>
  <si>
    <t xml:space="preserve">Piscis</t>
  </si>
  <si>
    <t xml:space="preserve">6.0 × 3.6 × 2.0 mm</t>
  </si>
  <si>
    <t xml:space="preserve">https://tierramadre.app/p/278</t>
  </si>
  <si>
    <t xml:space="preserve">https://tierramadre.app/product/278</t>
  </si>
  <si>
    <t xml:space="preserve">https://drive.google.com/drive/folders/1w8-KI2B53wSE9X0FAc9wGrcF6Bo3S1_X</t>
  </si>
  <si>
    <t xml:space="preserve">2026-07-13-pisces-item-278</t>
  </si>
  <si>
    <t xml:space="preserve">Calidad difiere: legacy=COMERCIAL FINA vs modeloPrecios=C. Super Fina | Caja (snapshot) registra comprador 'Tierra Madre' vs asesor actual 'Mauricio Echeverry Naranjo' — revisar si son ventas distintas o la copia está desactualizada.</t>
  </si>
  <si>
    <t xml:space="preserve">1900-01-02 21:36:00</t>
  </si>
  <si>
    <t xml:space="preserve">https://tierramadre.app/p/279</t>
  </si>
  <si>
    <t xml:space="preserve">https://tierramadre.app/product/279</t>
  </si>
  <si>
    <t xml:space="preserve">https://drive.google.com/drive/folders/1fFoL6OULUzETJtxlxDSFZVb6LVxZiGeZ</t>
  </si>
  <si>
    <t xml:space="preserve">2026-07-18-2-9-item-279</t>
  </si>
  <si>
    <t xml:space="preserve">Orden Divino</t>
  </si>
  <si>
    <t xml:space="preserve">https://tierramadre.app/p/280</t>
  </si>
  <si>
    <t xml:space="preserve">https://tierramadre.app/product/280</t>
  </si>
  <si>
    <t xml:space="preserve">https://drive.google.com/drive/folders/1pm196acE9_3XldM_-W3qF_XCmZ5ZfRq8</t>
  </si>
  <si>
    <t xml:space="preserve">2026-07-18-orden-divino-item-280</t>
  </si>
  <si>
    <t xml:space="preserve">Caja (snapshot) registra comprador 'Tierra Madre' vs asesor actual 'Brielatt' — revisar si son ventas distintas o la copia está desactualizada.</t>
  </si>
  <si>
    <t xml:space="preserve">1900-01-03 04:48:00</t>
  </si>
  <si>
    <t xml:space="preserve">https://tierramadre.app/p/281</t>
  </si>
  <si>
    <t xml:space="preserve">https://tierramadre.app/product/281</t>
  </si>
  <si>
    <t xml:space="preserve">https://drive.google.com/drive/folders/1B7diUIljKowW_GSRZZbKfORFLTtN9YoM</t>
  </si>
  <si>
    <t xml:space="preserve">2026-07-18-3-2-item-281</t>
  </si>
  <si>
    <t xml:space="preserve">1900-01-03 07:12:00</t>
  </si>
  <si>
    <t xml:space="preserve">https://tierramadre.app/p/282</t>
  </si>
  <si>
    <t xml:space="preserve">https://tierramadre.app/product/282</t>
  </si>
  <si>
    <t xml:space="preserve">https://drive.google.com/drive/folders/1a461M_QhEraC2nJ7edsUNQIx4pTFrk_3</t>
  </si>
  <si>
    <t xml:space="preserve">2026-07-18-3-3-item-282</t>
  </si>
  <si>
    <t xml:space="preserve">Aquarium</t>
  </si>
  <si>
    <t xml:space="preserve">6.8 × 4.5 × 2.9 mm</t>
  </si>
  <si>
    <t xml:space="preserve">https://tierramadre.app/p/283</t>
  </si>
  <si>
    <t xml:space="preserve">https://tierramadre.app/product/283</t>
  </si>
  <si>
    <t xml:space="preserve">https://drive.google.com/drive/folders/1-cWlZz55vOITn-F6fQERHeEwaWFmRCxo</t>
  </si>
  <si>
    <t xml:space="preserve">2026-07-13-aquarium-item-283</t>
  </si>
  <si>
    <t xml:space="preserve">Calidad difiere: legacy=Comercial Superior vs modeloPrecios=C. Fina | Caja (snapshot) registra comprador 'Tierra Madre' vs asesor actual 'M.Campuzano' — revisar si son ventas distintas o la copia está desactualizada.</t>
  </si>
  <si>
    <t xml:space="preserve">1900-01-03 12:00:00</t>
  </si>
  <si>
    <t xml:space="preserve">https://tierramadre.app/p/284</t>
  </si>
  <si>
    <t xml:space="preserve">https://tierramadre.app/product/284</t>
  </si>
  <si>
    <t xml:space="preserve">https://drive.google.com/drive/folders/1Bs5gah5GxfuiNuMP8ke5kSpueWp5DCbB</t>
  </si>
  <si>
    <t xml:space="preserve">2026-07-18-3-5-item-284</t>
  </si>
  <si>
    <t xml:space="preserve">1900-01-03 14:24:00</t>
  </si>
  <si>
    <t xml:space="preserve">https://tierramadre.app/p/285</t>
  </si>
  <si>
    <t xml:space="preserve">https://tierramadre.app/product/285</t>
  </si>
  <si>
    <t xml:space="preserve">https://drive.google.com/drive/folders/1TGr1wicXgY_F01NJD_Wc_k7Mv2PjuBM2</t>
  </si>
  <si>
    <t xml:space="preserve">2026-07-18-3-6-item-285</t>
  </si>
  <si>
    <t xml:space="preserve">Abril</t>
  </si>
  <si>
    <t xml:space="preserve">https://tierramadre.app/p/286</t>
  </si>
  <si>
    <t xml:space="preserve">https://tierramadre.app/product/286</t>
  </si>
  <si>
    <t xml:space="preserve">https://drive.google.com/drive/folders/1-nRwH2UZzIRymgYQyYm5vsh6omkZPTAK</t>
  </si>
  <si>
    <t xml:space="preserve">2026-07-18-abril-item-286</t>
  </si>
  <si>
    <t xml:space="preserve">Rayito 
de Luz</t>
  </si>
  <si>
    <t xml:space="preserve">5.3 × 3.0 × 2.1 mm</t>
  </si>
  <si>
    <t xml:space="preserve">https://tierramadre.app/p/287</t>
  </si>
  <si>
    <t xml:space="preserve">https://tierramadre.app/product/287</t>
  </si>
  <si>
    <t xml:space="preserve">https://drive.google.com/drive/folders/1-wF000JtIZvyVOuZIHiI2EuLRUA5dQjh</t>
  </si>
  <si>
    <t xml:space="preserve">2026-07-13-rayito-de-luz-item-287</t>
  </si>
  <si>
    <t xml:space="preserve">1900-01-03 21:36:00</t>
  </si>
  <si>
    <t xml:space="preserve">https://tierramadre.app/p/288</t>
  </si>
  <si>
    <t xml:space="preserve">https://tierramadre.app/product/288</t>
  </si>
  <si>
    <t xml:space="preserve">https://drive.google.com/drive/folders/1KCPpenRSaFKea342KWt4iIqH3cD5ZRn2</t>
  </si>
  <si>
    <t xml:space="preserve">2026-07-18-3-9-item-288</t>
  </si>
  <si>
    <t xml:space="preserve">4.1
Revelación</t>
  </si>
  <si>
    <t xml:space="preserve">https://tierramadre.app/p/289</t>
  </si>
  <si>
    <t xml:space="preserve">https://tierramadre.app/product/289</t>
  </si>
  <si>
    <t xml:space="preserve">https://drive.google.com/drive/folders/1xanZyKcJJ-0clO2EUWCS2jovuD1NrqTg</t>
  </si>
  <si>
    <t xml:space="preserve">2026-07-18-4-1-revelacion-item-289</t>
  </si>
  <si>
    <t xml:space="preserve">costo estimado = precio/2.6 (sin costo registrado)</t>
  </si>
  <si>
    <t xml:space="preserve">4.2
Cetro
Divino</t>
  </si>
  <si>
    <t xml:space="preserve">https://tierramadre.app/p/290</t>
  </si>
  <si>
    <t xml:space="preserve">https://tierramadre.app/product/290</t>
  </si>
  <si>
    <t xml:space="preserve">https://drive.google.com/drive/folders/1AZxPEvKi-WaJ0U6BUmTefhATNWY04FVp</t>
  </si>
  <si>
    <t xml:space="preserve">2026-07-18-4-2-cetro-divino-item-290</t>
  </si>
  <si>
    <t xml:space="preserve">Leo</t>
  </si>
  <si>
    <t xml:space="preserve">6.6 × 5.5 × 4.7 mm</t>
  </si>
  <si>
    <t xml:space="preserve">https://tierramadre.app/p/291</t>
  </si>
  <si>
    <t xml:space="preserve">https://tierramadre.app/product/291</t>
  </si>
  <si>
    <t xml:space="preserve">https://drive.google.com/drive/folders/1cvDoDI2FC5gjsUXiCOkR7b2s12YvYO9Z</t>
  </si>
  <si>
    <t xml:space="preserve">2026-07-15-leo-item-291</t>
  </si>
  <si>
    <t xml:space="preserve">1900-01-04 09:36:00</t>
  </si>
  <si>
    <t xml:space="preserve">https://tierramadre.app/p/292</t>
  </si>
  <si>
    <t xml:space="preserve">https://tierramadre.app/product/292</t>
  </si>
  <si>
    <t xml:space="preserve">https://drive.google.com/drive/folders/1jeGKacFL6thr55odObCj03_FAKfYGFsN</t>
  </si>
  <si>
    <t xml:space="preserve">2026-07-18-4-4-item-292</t>
  </si>
  <si>
    <t xml:space="preserve">1900-01-04 12:00:00</t>
  </si>
  <si>
    <t xml:space="preserve">https://tierramadre.app/p/293</t>
  </si>
  <si>
    <t xml:space="preserve">https://tierramadre.app/product/293</t>
  </si>
  <si>
    <t xml:space="preserve">https://drive.google.com/drive/folders/1yZnNXDePi98BKFC3K95DPC7GCs2SH1SA</t>
  </si>
  <si>
    <t xml:space="preserve">2026-07-18-4-5-item-293</t>
  </si>
  <si>
    <t xml:space="preserve">Sagitarius</t>
  </si>
  <si>
    <t xml:space="preserve">6.6 × 9.0 × 5.3 mm</t>
  </si>
  <si>
    <t xml:space="preserve">https://tierramadre.app/p/294</t>
  </si>
  <si>
    <t xml:space="preserve">https://tierramadre.app/product/294</t>
  </si>
  <si>
    <t xml:space="preserve">https://drive.google.com/drive/folders/1tJCpgkskTWaW6gz9OXAGmisyNYsVHW6f</t>
  </si>
  <si>
    <t xml:space="preserve">2026-07-18-sagitarius-item-294</t>
  </si>
  <si>
    <t xml:space="preserve">Portal del 
Alma</t>
  </si>
  <si>
    <t xml:space="preserve">7.3 × 4.9 × 4.2 mm</t>
  </si>
  <si>
    <t xml:space="preserve">https://tierramadre.app/p/295</t>
  </si>
  <si>
    <t xml:space="preserve">https://tierramadre.app/product/295</t>
  </si>
  <si>
    <t xml:space="preserve">https://drive.google.com/drive/folders/14wBGhYHSfgugBAORDsOLympSGnmYkZSS</t>
  </si>
  <si>
    <t xml:space="preserve">2026-07-13-portal-del-alma-item-295</t>
  </si>
  <si>
    <t xml:space="preserve">peso ct recuperado de serial Excel · Calidad difiere: legacy=Comercial Fina vs modeloPrecios=C. Fina | Caja (snapshot) registra comprador 'Tierra Madre' vs asesor actual 'M.Campuzano' — revisar si son ventas distintas o la copia está desactualizada.</t>
  </si>
  <si>
    <t xml:space="preserve">Scorpius</t>
  </si>
  <si>
    <t xml:space="preserve">5.3 × 4.2 × 3.0 mm</t>
  </si>
  <si>
    <t xml:space="preserve">https://tierramadre.app/p/296</t>
  </si>
  <si>
    <t xml:space="preserve">https://tierramadre.app/product/296</t>
  </si>
  <si>
    <t xml:space="preserve">https://drive.google.com/drive/folders/1rWkF4sik3iQTaBYVcMa1NfvtzAbQwQZP</t>
  </si>
  <si>
    <t xml:space="preserve">2026-07-18-scorpius-item-296</t>
  </si>
  <si>
    <t xml:space="preserve">1900-01-04 21:36:00</t>
  </si>
  <si>
    <t xml:space="preserve">https://tierramadre.app/p/297</t>
  </si>
  <si>
    <t xml:space="preserve">https://tierramadre.app/product/297</t>
  </si>
  <si>
    <t xml:space="preserve">https://drive.google.com/drive/folders/1Zu0XOYPuxVjYH8kUod94NheaOV7yTdBU</t>
  </si>
  <si>
    <t xml:space="preserve">2026-07-18-4-9-item-297</t>
  </si>
  <si>
    <t xml:space="preserve">29-abr-2026</t>
  </si>
  <si>
    <t xml:space="preserve">Libélulas 
de la sabana</t>
  </si>
  <si>
    <t xml:space="preserve">4.5 × 5.0 × 4.7 mm</t>
  </si>
  <si>
    <t xml:space="preserve">https://tierramadre.app/p/298</t>
  </si>
  <si>
    <t xml:space="preserve">https://tierramadre.app/product/298</t>
  </si>
  <si>
    <t xml:space="preserve">https://drive.google.com/drive/folders/1BBJgiQguSjs5npDzSujEE2091Pa1_K5m</t>
  </si>
  <si>
    <t xml:space="preserve">2026-07-13-libelulas-de-la-sabana-item-298</t>
  </si>
  <si>
    <t xml:space="preserve">Calidad difiere: legacy=Comercial Estándar vs modeloPrecios=C. Fina</t>
  </si>
  <si>
    <t xml:space="preserve">https://tierramadre.app/p/299</t>
  </si>
  <si>
    <t xml:space="preserve">C-059</t>
  </si>
  <si>
    <t xml:space="preserve">https://tierramadre.app/product/299</t>
  </si>
  <si>
    <t xml:space="preserve">https://drive.google.com/drive/folders/1-5_A-B0ZI4n9zxMpbUlul8oz49budKCD</t>
  </si>
  <si>
    <t xml:space="preserve">2026-07-13-libelulas-de-la-sabana-item-299</t>
  </si>
  <si>
    <t xml:space="preserve">Amor 
de marte</t>
  </si>
  <si>
    <t xml:space="preserve">https://tierramadre.app/p/300</t>
  </si>
  <si>
    <t xml:space="preserve">https://tierramadre.app/product/300</t>
  </si>
  <si>
    <t xml:space="preserve">https://drive.google.com/drive/folders/1Ki29WvbBE51Au_fIVii-DDZU6bQ41JCF</t>
  </si>
  <si>
    <t xml:space="preserve">2026-07-18-amor-de-marte-item-300</t>
  </si>
  <si>
    <t xml:space="preserve">Diosa 
Maya</t>
  </si>
  <si>
    <t xml:space="preserve">Joyas</t>
  </si>
  <si>
    <t xml:space="preserve">https://tierramadre.app/p/301</t>
  </si>
  <si>
    <t xml:space="preserve">https://tierramadre.app/product/301</t>
  </si>
  <si>
    <t xml:space="preserve">https://drive.google.com/drive/folders/11jmw-JMIcKnMm0LQMTPa4HAO5DMorrq4</t>
  </si>
  <si>
    <t xml:space="preserve">2026-07-18-diosa-maya-item-301</t>
  </si>
  <si>
    <t xml:space="preserve">corazón 
de Venus</t>
  </si>
  <si>
    <t xml:space="preserve">https://tierramadre.app/p/302</t>
  </si>
  <si>
    <t xml:space="preserve">https://tierramadre.app/product/302</t>
  </si>
  <si>
    <t xml:space="preserve">https://drive.google.com/drive/folders/1Ur6a66RDZ9Aqcow8050zHsTt5HPylVrv</t>
  </si>
  <si>
    <t xml:space="preserve">2026-07-18-corazon-de-venus-item-302</t>
  </si>
  <si>
    <t xml:space="preserve">corazón 
de Pluton</t>
  </si>
  <si>
    <t xml:space="preserve">https://tierramadre.app/p/303</t>
  </si>
  <si>
    <t xml:space="preserve">https://tierramadre.app/product/303</t>
  </si>
  <si>
    <t xml:space="preserve">https://drive.google.com/drive/folders/1_OetIwKPWuU8VVcFsENkn_5-rLBEOJV2</t>
  </si>
  <si>
    <t xml:space="preserve">2026-07-18-corazon-de-pluton-item-303</t>
  </si>
  <si>
    <t xml:space="preserve">Manilla 
Morralla</t>
  </si>
  <si>
    <t xml:space="preserve">https://tierramadre.app/p/304</t>
  </si>
  <si>
    <t xml:space="preserve">C-063</t>
  </si>
  <si>
    <t xml:space="preserve">Muralla</t>
  </si>
  <si>
    <t xml:space="preserve">https://tierramadre.app/product/304</t>
  </si>
  <si>
    <t xml:space="preserve">https://drive.google.com/drive/folders/1w2r5M8sazZLJzXhEBNLPn0veLX50ajwa</t>
  </si>
  <si>
    <t xml:space="preserve">2026-07-15-modelo-item-304-manillas-colombia</t>
  </si>
  <si>
    <t xml:space="preserve">https://tierramadre.app/p/305</t>
  </si>
  <si>
    <t xml:space="preserve">https://tierramadre.app/product/305</t>
  </si>
  <si>
    <t xml:space="preserve">https://drive.google.com/drive/folders/1d-Yb95RJi4D5lttNu2qXzqrozrWJ97Lt</t>
  </si>
  <si>
    <t xml:space="preserve">2026-07-15-modelo-item-305-manillas-colombia</t>
  </si>
  <si>
    <t xml:space="preserve">Chispita 
Mariposas</t>
  </si>
  <si>
    <t xml:space="preserve">https://tierramadre.app/p/306</t>
  </si>
  <si>
    <t xml:space="preserve">https://tierramadre.app/product/306</t>
  </si>
  <si>
    <t xml:space="preserve">https://drive.google.com/drive/folders/1Sa590TX-YaAMcwhF-SeHE6s5yaXxuRpS</t>
  </si>
  <si>
    <t xml:space="preserve">2026-07-18-chispita-mariposas-item-306</t>
  </si>
  <si>
    <t xml:space="preserve">Caja (snapshot) registra comprador 'M.Campuzano' vs asesor actual 'Isa la Negra Vikinga Warrior Portocarrero' — revisar si son ventas distintas o la copia está desactualizada. · estado inferido de Caja (contable)</t>
  </si>
  <si>
    <t xml:space="preserve">Intuición</t>
  </si>
  <si>
    <t xml:space="preserve">Marquis</t>
  </si>
  <si>
    <t xml:space="preserve">https://tierramadre.app/p/307</t>
  </si>
  <si>
    <t xml:space="preserve">C-070</t>
  </si>
  <si>
    <t xml:space="preserve">https://tierramadre.app/product/307</t>
  </si>
  <si>
    <t xml:space="preserve">https://drive.google.com/drive/folders/1-Vwcz8w7ti2m-W65CKVagIn-FljNVpyC</t>
  </si>
  <si>
    <t xml:space="preserve">2026-07-13-intuicion-item-307</t>
  </si>
  <si>
    <t xml:space="preserve">Calidad difiere: legacy=FINA vs modeloPrecios=Minor</t>
  </si>
  <si>
    <t xml:space="preserve">5-may-2026</t>
  </si>
  <si>
    <t xml:space="preserve">Inspiración</t>
  </si>
  <si>
    <t xml:space="preserve">Verde Chivor</t>
  </si>
  <si>
    <t xml:space="preserve">https://tierramadre.app/p/308</t>
  </si>
  <si>
    <t xml:space="preserve">https://tierramadre.app/product/308</t>
  </si>
  <si>
    <t xml:space="preserve">https://drive.google.com/drive/folders/1ZBkUYEDItoDnLwyPvYJHrPwK1Ao8bGks</t>
  </si>
  <si>
    <t xml:space="preserve">2026-07-15-modelo-item-308-inspiracion</t>
  </si>
  <si>
    <t xml:space="preserve">Calidad difiere: legacy=FINA SUBLIME vs modeloPrecios=Minor</t>
  </si>
  <si>
    <t xml:space="preserve">Grandiosidad</t>
  </si>
  <si>
    <t xml:space="preserve">https://tierramadre.app/p/309</t>
  </si>
  <si>
    <t xml:space="preserve">https://tierramadre.app/product/309</t>
  </si>
  <si>
    <t xml:space="preserve">https://drive.google.com/drive/folders/1CysRGqiIotHY5v6Uk5RVf7zqK0Wd9l-G</t>
  </si>
  <si>
    <t xml:space="preserve">2026-07-15-modelo-item-309-grandiosidad</t>
  </si>
  <si>
    <t xml:space="preserve">Calidad difiere: legacy=Fina Sublime vs modeloPrecios=Minor | Caja (snapshot) registra comprador 'Tierra Madre' vs asesor actual 'M.Campuzano' — revisar si son ventas distintas o la copia está desactualizada.</t>
  </si>
  <si>
    <t xml:space="preserve">Génesis</t>
  </si>
  <si>
    <t xml:space="preserve">https://tierramadre.app/p/310</t>
  </si>
  <si>
    <t xml:space="preserve">https://tierramadre.app/product/310</t>
  </si>
  <si>
    <t xml:space="preserve">https://drive.google.com/drive/folders/10bS-X_n1LUVsVloqQY0YSaHPJgrl_i2a</t>
  </si>
  <si>
    <t xml:space="preserve">2026-07-15-modelo-item-310-genesis</t>
  </si>
  <si>
    <t xml:space="preserve">Vida</t>
  </si>
  <si>
    <t xml:space="preserve">F2</t>
  </si>
  <si>
    <t xml:space="preserve">6.5 × 4.5 mm</t>
  </si>
  <si>
    <t xml:space="preserve">https://tierramadre.app/p/311</t>
  </si>
  <si>
    <t xml:space="preserve">https://tierramadre.app/product/311</t>
  </si>
  <si>
    <t xml:space="preserve">https://drive.google.com/drive/folders/1sWAqG0G6btMhhPhb9mX_jhGB6VwoeQ0E</t>
  </si>
  <si>
    <t xml:space="preserve">2026-07-18-vida-item-311</t>
  </si>
  <si>
    <t xml:space="preserve">Essencial</t>
  </si>
  <si>
    <t xml:space="preserve">8.6 × 5.1 × 3.5 mm</t>
  </si>
  <si>
    <t xml:space="preserve">https://tierramadre.app/p/312</t>
  </si>
  <si>
    <t xml:space="preserve">https://tierramadre.app/product/312</t>
  </si>
  <si>
    <t xml:space="preserve">https://drive.google.com/drive/folders/1sWj6wTK1pVt7UrM_Vb0M1kG-3huKh4Hl</t>
  </si>
  <si>
    <t xml:space="preserve">2026-07-18-essencial-item-312</t>
  </si>
  <si>
    <t xml:space="preserve">Espejo del alma</t>
  </si>
  <si>
    <t xml:space="preserve">https://tierramadre.app/p/313</t>
  </si>
  <si>
    <t xml:space="preserve">https://tierramadre.app/product/313</t>
  </si>
  <si>
    <t xml:space="preserve">https://drive.google.com/drive/folders/1-JrKygEQe4DRt7u2Nx5wy7m_3_Yhkqne</t>
  </si>
  <si>
    <t xml:space="preserve">2026-07-13-c037-esperanza-item-313 · 2026-07-13-espejo-del-alma-item-313</t>
  </si>
  <si>
    <t xml:space="preserve">Frozen</t>
  </si>
  <si>
    <t xml:space="preserve">https://tierramadre.app/p/314</t>
  </si>
  <si>
    <t xml:space="preserve">C-062</t>
  </si>
  <si>
    <t xml:space="preserve">Murralla + Cristal</t>
  </si>
  <si>
    <t xml:space="preserve">https://tierramadre.app/product/314</t>
  </si>
  <si>
    <t xml:space="preserve">https://drive.google.com/drive/folders/1ozTZ_qfCph3wRzuz2EadgiNVY43tVUbb</t>
  </si>
  <si>
    <t xml:space="preserve">2026-07-14-frozen-mas-cadena-item-314</t>
  </si>
  <si>
    <t xml:space="preserve">Calidad difiere: legacy=Morralla Fina vs modeloPrecios=Rareza | Caja (snapshot) registra comprador 'Tierra Madre' vs asesor actual 'M.Campuzano' — revisar si son ventas distintas o la copia está desactualizada.</t>
  </si>
  <si>
    <t xml:space="preserve">Libélulas 
de la sabana 
Gola</t>
  </si>
  <si>
    <t xml:space="preserve">https://tierramadre.app/p/315</t>
  </si>
  <si>
    <t xml:space="preserve">https://tierramadre.app/product/315</t>
  </si>
  <si>
    <t xml:space="preserve">https://drive.google.com/drive/folders/1m6RHgYntnTL_bQhqPscUrkkiTrd3XRjl</t>
  </si>
  <si>
    <t xml:space="preserve">2026-07-18-libelulas-de-la-sabana-gola-item-315</t>
  </si>
  <si>
    <t xml:space="preserve">Orbita Divina</t>
  </si>
  <si>
    <t xml:space="preserve">https://tierramadre.app/p/316</t>
  </si>
  <si>
    <t xml:space="preserve">https://tierramadre.app/product/316</t>
  </si>
  <si>
    <t xml:space="preserve">https://drive.google.com/drive/folders/13G2IGgxsVPGq1qoR2pWgiN-uiNN_Xn2w</t>
  </si>
  <si>
    <t xml:space="preserve">2026-07-18-orbita-divina-item-316</t>
  </si>
  <si>
    <t xml:space="preserve">Bastones de luz</t>
  </si>
  <si>
    <t xml:space="preserve">https://tierramadre.app/p/317</t>
  </si>
  <si>
    <t xml:space="preserve">https://tierramadre.app/product/317</t>
  </si>
  <si>
    <t xml:space="preserve">https://drive.google.com/drive/folders/1CJv_BzQHNNRJ1OzCb4zajjYTqcIkK2gf</t>
  </si>
  <si>
    <t xml:space="preserve">2026-07-18-bastones-de-luz-item-317</t>
  </si>
  <si>
    <t xml:space="preserve">Latir de
 la Montaña</t>
  </si>
  <si>
    <t xml:space="preserve">https://tierramadre.app/p/318</t>
  </si>
  <si>
    <t xml:space="preserve">https://tierramadre.app/product/318</t>
  </si>
  <si>
    <t xml:space="preserve">https://drive.google.com/drive/folders/1cGctqFO5zMKchUxuFNfgErMB69FVDHD1</t>
  </si>
  <si>
    <t xml:space="preserve">2026-07-18-latir-de-la-montana-item-318</t>
  </si>
  <si>
    <t xml:space="preserve">https://tierramadre.app/p/319</t>
  </si>
  <si>
    <t xml:space="preserve">https://tierramadre.app/product/319</t>
  </si>
  <si>
    <t xml:space="preserve">https://drive.google.com/drive/folders/1kcRIzY7pba0Mf5xzYBMzdoofhwY0OY1f</t>
  </si>
  <si>
    <t xml:space="preserve">2026-07-18-item-generico-item-319</t>
  </si>
  <si>
    <t xml:space="preserve">Fotosintesis/Convex</t>
  </si>
  <si>
    <t xml:space="preserve">https://tierramadre.app/p/320</t>
  </si>
  <si>
    <t xml:space="preserve">https://tierramadre.app/product/320</t>
  </si>
  <si>
    <t xml:space="preserve">https://drive.google.com/drive/folders/1rxPtp2sy0avKGH_5-yM2q-V25d6-1mjN</t>
  </si>
  <si>
    <t xml:space="preserve">2026-07-18-item-generico-item-320</t>
  </si>
  <si>
    <t xml:space="preserve">https://tierramadre.app/p/321</t>
  </si>
  <si>
    <t xml:space="preserve">https://tierramadre.app/product/321</t>
  </si>
  <si>
    <t xml:space="preserve">https://drive.google.com/drive/folders/1R6wdn0nYPYpnZQUONT2IX73UddcCfrSn</t>
  </si>
  <si>
    <t xml:space="preserve">2026-07-18-item-generico-item-321</t>
  </si>
  <si>
    <t xml:space="preserve">https://tierramadre.app/p/322</t>
  </si>
  <si>
    <t xml:space="preserve">https://tierramadre.app/product/322</t>
  </si>
  <si>
    <t xml:space="preserve">https://drive.google.com/drive/folders/1NIzOTUQwZ3_XisvJO1UMxRHvrs7tGAp5</t>
  </si>
  <si>
    <t xml:space="preserve">2026-07-18-item-generico-item-322</t>
  </si>
  <si>
    <t xml:space="preserve">Luna</t>
  </si>
  <si>
    <t xml:space="preserve">Verde Intenso</t>
  </si>
  <si>
    <t xml:space="preserve">FINA COMERCIAL</t>
  </si>
  <si>
    <t xml:space="preserve">11.0 × 13.7 × 3.9 mm</t>
  </si>
  <si>
    <t xml:space="preserve">Raíz</t>
  </si>
  <si>
    <t xml:space="preserve">https://tierramadre.app/p/323</t>
  </si>
  <si>
    <t xml:space="preserve">C-002</t>
  </si>
  <si>
    <t xml:space="preserve">Es una  rareza no  se encuentra fácil</t>
  </si>
  <si>
    <t xml:space="preserve">https://drive.google.com/uc?export=view&amp;id=1wVUxWCyiNTekxy9WGkpADkP62o-PxE_j</t>
  </si>
  <si>
    <t xml:space="preserve">https://tierramadre.app/product/323</t>
  </si>
  <si>
    <t xml:space="preserve">https://drive.google.com/drive/folders/11EEz5hbzhAJ7LjN5z515XQi5oqKKEKRo</t>
  </si>
  <si>
    <t xml:space="preserve">2026-07-18-luna-item-323</t>
  </si>
  <si>
    <t xml:space="preserve">Fotosintesis/Convex + CajaInventario</t>
  </si>
  <si>
    <t xml:space="preserve">Aura</t>
  </si>
  <si>
    <t xml:space="preserve">10.9 × 13.7 × 4.2 mm</t>
  </si>
  <si>
    <t xml:space="preserve">https://tierramadre.app/p/324</t>
  </si>
  <si>
    <t xml:space="preserve">Rareza , esta es mas bella que la hermanita</t>
  </si>
  <si>
    <t xml:space="preserve">https://drive.google.com/uc?export=view&amp;id=1cTjtOsu4nu-c27T3f3mJ8VC4Qkgx-B-F</t>
  </si>
  <si>
    <t xml:space="preserve">https://tierramadre.app/product/324</t>
  </si>
  <si>
    <t xml:space="preserve">https://drive.google.com/drive/folders/1wzTTvTCR9d4xQtNWVAbnh6JmJtVkMgH8</t>
  </si>
  <si>
    <t xml:space="preserve">2026-07-18-aura-item-324</t>
  </si>
  <si>
    <t xml:space="preserve">Corazón de la trinidad</t>
  </si>
  <si>
    <t xml:space="preserve">F1</t>
  </si>
  <si>
    <t xml:space="preserve">https://tierramadre.app/p/325</t>
  </si>
  <si>
    <t xml:space="preserve">C-003</t>
  </si>
  <si>
    <t xml:space="preserve">Boyacá</t>
  </si>
  <si>
    <t xml:space="preserve">Una piedra con pirita, lutita que hacen contraste</t>
  </si>
  <si>
    <t xml:space="preserve">https://drive.google.com/uc?export=view&amp;id=1KFIcmSisH3vZmXfosH3eE6djcRW829sO</t>
  </si>
  <si>
    <t xml:space="preserve">https://tierramadre.app/product/325</t>
  </si>
  <si>
    <t xml:space="preserve">https://drive.google.com/drive/folders/1mN-Nw8RbjF6q2w-L5ti2IFO7rNJ7MX6A</t>
  </si>
  <si>
    <t xml:space="preserve">2026-07-18-corazon-de-la-trinidad-item-325</t>
  </si>
  <si>
    <t xml:space="preserve">Fotosintesis/Convex + Ventas + CajaInventario</t>
  </si>
  <si>
    <t xml:space="preserve">Transformación del Alma</t>
  </si>
  <si>
    <t xml:space="preserve">https://tierramadre.app/p/326</t>
  </si>
  <si>
    <t xml:space="preserve">Macla con Lutita</t>
  </si>
  <si>
    <t xml:space="preserve">https://drive.google.com/uc?export=view&amp;id=1YN2B3QTUf6IKn2SQpp7ysgO0X55cEQDx</t>
  </si>
  <si>
    <t xml:space="preserve">https://tierramadre.app/product/326</t>
  </si>
  <si>
    <t xml:space="preserve">https://drive.google.com/drive/folders/177JO5fx3JO4iCDD17rYFVof76P_Zkth9</t>
  </si>
  <si>
    <t xml:space="preserve">2026-07-18-transformacion-del-alma-item-326</t>
  </si>
  <si>
    <t xml:space="preserve">Iceberg</t>
  </si>
  <si>
    <t xml:space="preserve">https://tierramadre.app/p/327</t>
  </si>
  <si>
    <t xml:space="preserve">Tomar tipo vertical</t>
  </si>
  <si>
    <t xml:space="preserve">https://drive.google.com/uc?export=view&amp;id=16ECHmw_Ro9OnvyOlQupGLw6B2l_PetDw</t>
  </si>
  <si>
    <t xml:space="preserve">https://tierramadre.app/product/327</t>
  </si>
  <si>
    <t xml:space="preserve">https://drive.google.com/drive/folders/1SrN_zDgR4DsEZoYceNdV-3kYUA8A6xAN</t>
  </si>
  <si>
    <t xml:space="preserve">2026-07-18-iceberg-item-327</t>
  </si>
  <si>
    <t xml:space="preserve">Mar Profundo</t>
  </si>
  <si>
    <t xml:space="preserve">https://tierramadre.app/p/328</t>
  </si>
  <si>
    <t xml:space="preserve">https://drive.google.com/uc?export=view&amp;id=1niXUpfsLsN_L_q_5gbJC8e2F1d9pU9UH</t>
  </si>
  <si>
    <t xml:space="preserve">https://tierramadre.app/product/328</t>
  </si>
  <si>
    <t xml:space="preserve">https://drive.google.com/drive/folders/1jiIzDEcSCLypXRoSsGmeDgqfAKVwWPFF</t>
  </si>
  <si>
    <t xml:space="preserve">2026-07-18-mar-profundo-item-328</t>
  </si>
  <si>
    <t xml:space="preserve">Integración del Corazón</t>
  </si>
  <si>
    <t xml:space="preserve">https://tierramadre.app/p/329</t>
  </si>
  <si>
    <t xml:space="preserve">Perfecta para pendulo</t>
  </si>
  <si>
    <t xml:space="preserve">https://drive.google.com/uc?export=view&amp;id=1zNJmJWd1JkZHzaz3lze10h0qq5rfnWBy</t>
  </si>
  <si>
    <t xml:space="preserve">https://tierramadre.app/product/329</t>
  </si>
  <si>
    <t xml:space="preserve">https://drive.google.com/drive/folders/1G0Kq90-eJbITAHhMW37pHwheV0DQw4Qe</t>
  </si>
  <si>
    <t xml:space="preserve">2026-07-18-integracion-del-corazon-item-329</t>
  </si>
  <si>
    <t xml:space="preserve">La grandeza de Dios</t>
  </si>
  <si>
    <t xml:space="preserve">Verde Turquesa</t>
  </si>
  <si>
    <t xml:space="preserve">Natural</t>
  </si>
  <si>
    <t xml:space="preserve">https://tierramadre.app/p/330</t>
  </si>
  <si>
    <t xml:space="preserve">C-004</t>
  </si>
  <si>
    <t xml:space="preserve">Lote  de Murralla  seleccionada para  producto de pendulos Sagrados - Brielah · Reserva para péndulos</t>
  </si>
  <si>
    <t xml:space="preserve">LOTE DE JOYAS</t>
  </si>
  <si>
    <t xml:space="preserve">Alambrado artesanal</t>
  </si>
  <si>
    <t xml:space="preserve">['Metal Dorado']</t>
  </si>
  <si>
    <t xml:space="preserve">https://drive.google.com/uc?export=view&amp;id=1bqabwPxTSIfSkUroSFknxHNOB3-L9Cu2</t>
  </si>
  <si>
    <t xml:space="preserve">https://tierramadre.app/product/330</t>
  </si>
  <si>
    <t xml:space="preserve">https://drive.google.com/drive/folders/1uKbdBpcmNsp45CE5QvCbgVqY0dKtc-Mk</t>
  </si>
  <si>
    <t xml:space="preserve">2026-07-18-la-grandeza-de-dios-item-330</t>
  </si>
  <si>
    <t xml:space="preserve">Montaña del Pacífico</t>
  </si>
  <si>
    <t xml:space="preserve">https://tierramadre.app/p/331</t>
  </si>
  <si>
    <t xml:space="preserve">https://drive.google.com/uc?export=view&amp;id=1PwqukY9dN7grE_Z4x1aqiiRPF3veCcmL</t>
  </si>
  <si>
    <t xml:space="preserve">https://tierramadre.app/product/331</t>
  </si>
  <si>
    <t xml:space="preserve">https://drive.google.com/drive/folders/15yb9_JDpytv328Jvsr-G2JQWviZjIpBF</t>
  </si>
  <si>
    <t xml:space="preserve">2026-07-15-modelo-item-331-montana-del-pacifico</t>
  </si>
  <si>
    <t xml:space="preserve">Fotosintesis/Convex + ModeloPrecios + CajaInventario</t>
  </si>
  <si>
    <t xml:space="preserve">Evolución</t>
  </si>
  <si>
    <t xml:space="preserve">https://tierramadre.app/p/332</t>
  </si>
  <si>
    <t xml:space="preserve">https://drive.google.com/uc?export=view&amp;id=1NyLS_oX1oN6_el9w80_DL9Z9EKL8K459</t>
  </si>
  <si>
    <t xml:space="preserve">https://tierramadre.app/product/332</t>
  </si>
  <si>
    <t xml:space="preserve">https://drive.google.com/drive/folders/1nsPWcTD_YTZzSs6tO7eksj95cbx9bXPr</t>
  </si>
  <si>
    <t xml:space="preserve">2026-07-18-evolucion-item-332</t>
  </si>
  <si>
    <t xml:space="preserve">Escalada al Cielo</t>
  </si>
  <si>
    <t xml:space="preserve">https://tierramadre.app/p/333</t>
  </si>
  <si>
    <t xml:space="preserve">https://drive.google.com/uc?export=view&amp;id=1V2yt7F0PjFIvIIPOZt5Tup3SxOPpln6P</t>
  </si>
  <si>
    <t xml:space="preserve">https://tierramadre.app/product/333</t>
  </si>
  <si>
    <t xml:space="preserve">https://drive.google.com/drive/folders/1_-7NtT1EOc9BHSrwOO5RZGZsYt7eNdiI</t>
  </si>
  <si>
    <t xml:space="preserve">2026-07-18-escalada-al-cielo-item-333</t>
  </si>
  <si>
    <t xml:space="preserve">Conciencia Directa</t>
  </si>
  <si>
    <t xml:space="preserve">https://tierramadre.app/p/334</t>
  </si>
  <si>
    <t xml:space="preserve">https://drive.google.com/uc?export=view&amp;id=1eO4zfV0TsYsuH3zdsL9gf-Nwb0lvzfS6</t>
  </si>
  <si>
    <t xml:space="preserve">https://tierramadre.app/product/334</t>
  </si>
  <si>
    <t xml:space="preserve">https://drive.google.com/drive/folders/1QvXhDUYPNo-hFUnKWpjixyd35-DRkzDa</t>
  </si>
  <si>
    <t xml:space="preserve">2026-07-14-conciencia-directa-item-334</t>
  </si>
  <si>
    <t xml:space="preserve">Tridente de Mar</t>
  </si>
  <si>
    <t xml:space="preserve">https://tierramadre.app/p/335</t>
  </si>
  <si>
    <t xml:space="preserve">https://drive.google.com/uc?export=view&amp;id=1kMC6AifHZo-OMkSBBoPRBz98Ng0sm-zU</t>
  </si>
  <si>
    <t xml:space="preserve">https://tierramadre.app/product/335</t>
  </si>
  <si>
    <t xml:space="preserve">https://drive.google.com/drive/folders/1_o2kPuU3gNuSGZc-kEukHnhA0dv0J1Ib</t>
  </si>
  <si>
    <t xml:space="preserve">2026-07-18-tridente-de-mar-item-335</t>
  </si>
  <si>
    <t xml:space="preserve">Roca Lunar</t>
  </si>
  <si>
    <t xml:space="preserve">https://tierramadre.app/p/336</t>
  </si>
  <si>
    <t xml:space="preserve">https://drive.google.com/uc?export=view&amp;id=1i3K1SxLASL6CqzZ0J9B878ZPyoz91ooK</t>
  </si>
  <si>
    <t xml:space="preserve">https://tierramadre.app/product/336</t>
  </si>
  <si>
    <t xml:space="preserve">https://drive.google.com/drive/folders/1uai2M25JMj8tUBH2RTgXfLh5XkEZsOw0</t>
  </si>
  <si>
    <t xml:space="preserve">2026-07-18-roca-lunar-item-336</t>
  </si>
  <si>
    <t xml:space="preserve">Fotosintesis/Convex + Kardex + CajaInventario</t>
  </si>
  <si>
    <t xml:space="preserve">Rocas Seleccionadas</t>
  </si>
  <si>
    <t xml:space="preserve">https://tierramadre.app/p/337</t>
  </si>
  <si>
    <t xml:space="preserve">C-005</t>
  </si>
  <si>
    <t xml:space="preserve">Lote</t>
  </si>
  <si>
    <t xml:space="preserve">https://drive.google.com/uc?export=view&amp;id=1aun2EdMOOokVOegH8Ix5iBv5wMXnzoVS</t>
  </si>
  <si>
    <t xml:space="preserve">https://tierramadre.app/product/337</t>
  </si>
  <si>
    <t xml:space="preserve">https://drive.google.com/drive/folders/1l2DKIYB_ozgX5i5TmXxC5pB0i31Tsm2F</t>
  </si>
  <si>
    <t xml:space="preserve">2026-07-17-rocas-seleccionadas-item-337-cambio-peso</t>
  </si>
  <si>
    <t xml:space="preserve">Caja (snapshot) registra comprador 'Tierra Madre' vs asesor actual 'M.Campuzano' — revisar si son ventas distintas o la copia está desactualizada. · Peso corregido 2026-07-17 (nota manuscrita dueño): 70.425 ct / 14.085 g, 5 piedras morralla</t>
  </si>
  <si>
    <t xml:space="preserve">Canutillos Asteroides Verdes III</t>
  </si>
  <si>
    <t xml:space="preserve">https://tierramadre.app/p/338</t>
  </si>
  <si>
    <t xml:space="preserve">canutillos para lapidar</t>
  </si>
  <si>
    <t xml:space="preserve">https://drive.google.com/uc?export=view&amp;id=1KBX_fRw-dts6A83LiBWpRo0eO06pQNG6</t>
  </si>
  <si>
    <t xml:space="preserve">Oficina Bogota</t>
  </si>
  <si>
    <t xml:space="preserve">https://tierramadre.app/product/338</t>
  </si>
  <si>
    <t xml:space="preserve">https://drive.google.com/drive/folders/11rkLRRuSfo7dk7zjvq-0SZ3nkeF_3TZR</t>
  </si>
  <si>
    <t xml:space="preserve">2026-07-18-canutillos-asteroides-verdes-iii-item-338</t>
  </si>
  <si>
    <t xml:space="preserve">Jardín Secreto</t>
  </si>
  <si>
    <t xml:space="preserve">Ancestral</t>
  </si>
  <si>
    <t xml:space="preserve">5.5 mm</t>
  </si>
  <si>
    <t xml:space="preserve">https://tierramadre.app/p/339</t>
  </si>
  <si>
    <t xml:space="preserve">C-006</t>
  </si>
  <si>
    <t xml:space="preserve">Lote - Brielah</t>
  </si>
  <si>
    <t xml:space="preserve">https://drive.google.com/uc?export=view&amp;id=12xqCRSUY_opDm_aRuPr7cwfeNtTNX_gq</t>
  </si>
  <si>
    <t xml:space="preserve">https://tierramadre.app/product/339</t>
  </si>
  <si>
    <t xml:space="preserve">https://drive.google.com/drive/folders/1ePQ9uCVC6oqlc3nR4sP1VNrad2vRVmPA</t>
  </si>
  <si>
    <t xml:space="preserve">2026-07-10-jardin-secreto-item-339</t>
  </si>
  <si>
    <t xml:space="preserve">peso ct recuperado de serial Excel · costo corregido a valor real (error de escala ×1000 en fuente)</t>
  </si>
  <si>
    <t xml:space="preserve">Aguamarina</t>
  </si>
  <si>
    <t xml:space="preserve">https://tierramadre.app/p/340</t>
  </si>
  <si>
    <t xml:space="preserve">C-007</t>
  </si>
  <si>
    <t xml:space="preserve">La mas grande del lote</t>
  </si>
  <si>
    <t xml:space="preserve">https://drive.google.com/uc?export=view&amp;id=1DhUR0cKSogdVcHaYMA7oeUm0FpfVB7Y2</t>
  </si>
  <si>
    <t xml:space="preserve">https://tierramadre.app/product/340</t>
  </si>
  <si>
    <t xml:space="preserve">https://drive.google.com/drive/folders/1CESC9uuIbRVf_lLcfGzF7bzSFgHTNUlf</t>
  </si>
  <si>
    <t xml:space="preserve">2026-07-18-aguamarina-item-340</t>
  </si>
  <si>
    <t xml:space="preserve">Calma</t>
  </si>
  <si>
    <t xml:space="preserve">Verde Aguamarina</t>
  </si>
  <si>
    <t xml:space="preserve">https://tierramadre.app/p/341</t>
  </si>
  <si>
    <t xml:space="preserve">https://drive.google.com/uc?export=view&amp;id=1E8K4LDoExjLPd9sKBZbK1IQS962-Jw_t</t>
  </si>
  <si>
    <t xml:space="preserve">https://tierramadre.app/product/341</t>
  </si>
  <si>
    <t xml:space="preserve">https://drive.google.com/drive/folders/1IREyZsFpkDerdpl1B84MuWxkeu1LL7Ml</t>
  </si>
  <si>
    <t xml:space="preserve">2026-07-18-calma-item-341</t>
  </si>
  <si>
    <t xml:space="preserve">peso ct=8.6 (corregido; serial-fecha corrupto en origen)</t>
  </si>
  <si>
    <t xml:space="preserve">Brújula Sagrada</t>
  </si>
  <si>
    <t xml:space="preserve">Cofre Comercial</t>
  </si>
  <si>
    <t xml:space="preserve">https://tierramadre.app/p/342</t>
  </si>
  <si>
    <t xml:space="preserve">https://drive.google.com/uc?export=view&amp;id=1BfQHaT_rdrbhlUFUWdHH1jaD9cp_TT2g</t>
  </si>
  <si>
    <t xml:space="preserve">https://tierramadre.app/product/342</t>
  </si>
  <si>
    <t xml:space="preserve">https://drive.google.com/drive/folders/1Vnn4CRnL_3MGiMoXHqpN6Hua95nkwvv_</t>
  </si>
  <si>
    <t xml:space="preserve">2026-07-18-brujula-sagrada-item-342</t>
  </si>
  <si>
    <t xml:space="preserve">peso ct=6.3 (corregido; serial-fecha corrupto en origen) · Caja (snapshot) registra comprador 'Tierra Madre' vs asesor actual 'Cofre Comercial' — revisar si son ventas distintas o la copia está desactualizada.</t>
  </si>
  <si>
    <t xml:space="preserve">Solsticio de Invierno</t>
  </si>
  <si>
    <t xml:space="preserve">https://tierramadre.app/p/343</t>
  </si>
  <si>
    <t xml:space="preserve">https://drive.google.com/uc?export=view&amp;id=1Q54RESdNZF907rwsFUj4-ZKZoIB4F-Xb</t>
  </si>
  <si>
    <t xml:space="preserve">https://tierramadre.app/product/343</t>
  </si>
  <si>
    <t xml:space="preserve">https://drive.google.com/drive/folders/1tzObwL-ykgVV5MfmovkTySFcqJGOffud</t>
  </si>
  <si>
    <t xml:space="preserve">2026-07-18-solsticio-de-invierno-item-343</t>
  </si>
  <si>
    <t xml:space="preserve">peso ct=3.8 (corregido; serial-fecha corrupto en origen)</t>
  </si>
  <si>
    <t xml:space="preserve">Diástole y Sístole</t>
  </si>
  <si>
    <t xml:space="preserve">https://tierramadre.app/p/344</t>
  </si>
  <si>
    <t xml:space="preserve">https://drive.google.com/uc?export=view&amp;id=1rcv3KHJgPFVC7dosrD7HNDxgdHrvtlgv</t>
  </si>
  <si>
    <t xml:space="preserve">https://tierramadre.app/product/344</t>
  </si>
  <si>
    <t xml:space="preserve">https://drive.google.com/drive/folders/11Ac7heU_ADv7dNuUsS8aIr2SvuaRJMyJ</t>
  </si>
  <si>
    <t xml:space="preserve">2026-07-18-diastole-y-sistole-item-344</t>
  </si>
  <si>
    <t xml:space="preserve">Burbujas de Amor</t>
  </si>
  <si>
    <t xml:space="preserve">https://tierramadre.app/p/345</t>
  </si>
  <si>
    <t xml:space="preserve">https://drive.google.com/uc?export=view&amp;id=1_5nN8cuziERTDeUD6kW5j2C2zlQK9XEs</t>
  </si>
  <si>
    <t xml:space="preserve">https://tierramadre.app/product/345</t>
  </si>
  <si>
    <t xml:space="preserve">https://drive.google.com/drive/folders/1fzftyciEg93XjFFG_8C0zyvEGM5yejtB</t>
  </si>
  <si>
    <t xml:space="preserve">2026-07-18-burbujas-de-amor-item-345</t>
  </si>
  <si>
    <t xml:space="preserve">Absolutismo</t>
  </si>
  <si>
    <t xml:space="preserve">3.0 × 5.5 × 2.2 mm</t>
  </si>
  <si>
    <t xml:space="preserve">https://tierramadre.app/p/346</t>
  </si>
  <si>
    <t xml:space="preserve">C-008</t>
  </si>
  <si>
    <t xml:space="preserve">Chivor</t>
  </si>
  <si>
    <t xml:space="preserve">https://drive.google.com/uc?export=view&amp;id=1N0FLtX_cveZl_6mvnzhYLJmg2k7872Ac</t>
  </si>
  <si>
    <t xml:space="preserve">https://tierramadre.app/product/346</t>
  </si>
  <si>
    <t xml:space="preserve">https://drive.google.com/drive/folders/1QBvf6iJJQw7PxAS0OcuK9te2NdrL50X1</t>
  </si>
  <si>
    <t xml:space="preserve">2026-07-18-absolutismo-item-346</t>
  </si>
  <si>
    <t xml:space="preserve">Pareja Ideal</t>
  </si>
  <si>
    <t xml:space="preserve">3.6 - 3.6 × 4.9 - 5.0 × 2.8 -3.1 mm</t>
  </si>
  <si>
    <t xml:space="preserve">https://tierramadre.app/p/347</t>
  </si>
  <si>
    <t xml:space="preserve">https://drive.google.com/uc?export=view&amp;id=16yV12EzXbDwYTyMeB1-mDlKWH84cyLnf</t>
  </si>
  <si>
    <t xml:space="preserve">https://tierramadre.app/product/347</t>
  </si>
  <si>
    <t xml:space="preserve">https://drive.google.com/drive/folders/1lSxfbkkds37NaKa1Se9C-Wb_A9AsPGqL</t>
  </si>
  <si>
    <t xml:space="preserve">2026-07-18-pareja-ideal-item-347</t>
  </si>
  <si>
    <t xml:space="preserve">Amor de Verano</t>
  </si>
  <si>
    <t xml:space="preserve">3.9 - 3.7 × 4.2 -4.1 × 2.7 -2.5 mm</t>
  </si>
  <si>
    <t xml:space="preserve">https://tierramadre.app/p/348</t>
  </si>
  <si>
    <t xml:space="preserve">https://drive.google.com/uc?export=view&amp;id=1cHhpzLm5p275tjafHDGCLfQBWTj3NxiQ</t>
  </si>
  <si>
    <t xml:space="preserve">https://tierramadre.app/product/348</t>
  </si>
  <si>
    <t xml:space="preserve">https://drive.google.com/drive/folders/1pTOmmPMIkT4cg_x_fPe9zP3kIHc4M2eD</t>
  </si>
  <si>
    <t xml:space="preserve">2026-07-18-amor-de-verano-item-348</t>
  </si>
  <si>
    <t xml:space="preserve">Caja (snapshot) registra comprador 'Tierra Madre' vs asesor actual 'Cofre Comercial' — revisar si son ventas distintas o la copia está desactualizada.</t>
  </si>
  <si>
    <t xml:space="preserve">Sexto Sentido</t>
  </si>
  <si>
    <t xml:space="preserve">2.3-2.0 × 3.4-3.0 × 1.6-1.6 mm</t>
  </si>
  <si>
    <t xml:space="preserve">https://tierramadre.app/p/349</t>
  </si>
  <si>
    <t xml:space="preserve">https://drive.google.com/uc?export=view&amp;id=1KfxowoyQeqY28B55XFPAk2oqi5mpLVr7</t>
  </si>
  <si>
    <t xml:space="preserve">https://tierramadre.app/product/349</t>
  </si>
  <si>
    <t xml:space="preserve">https://drive.google.com/drive/folders/1Mzy8kDknRp---P2j2QC7cjXc3GMt0IKk</t>
  </si>
  <si>
    <t xml:space="preserve">2026-07-18-sexto-sentido-item-349</t>
  </si>
  <si>
    <t xml:space="preserve">Órbita Lunar</t>
  </si>
  <si>
    <t xml:space="preserve">7.0 × 9.1 × 3.8 mm</t>
  </si>
  <si>
    <t xml:space="preserve">https://tierramadre.app/p/350</t>
  </si>
  <si>
    <t xml:space="preserve">C-009</t>
  </si>
  <si>
    <t xml:space="preserve">https://drive.google.com/uc?export=view&amp;id=1IpebyTBbMB0O-xs7udEfKCv60nPkUzB-</t>
  </si>
  <si>
    <t xml:space="preserve">https://tierramadre.app/product/350</t>
  </si>
  <si>
    <t xml:space="preserve">https://drive.google.com/drive/folders/1suAuvAc-8dlDcXM_pTR-JwCQ40Ni5ekv</t>
  </si>
  <si>
    <t xml:space="preserve">2026-07-13-orbita-lunar-item-350</t>
  </si>
  <si>
    <t xml:space="preserve">Lluvia de Estrellas</t>
  </si>
  <si>
    <t xml:space="preserve">2.6 × 3.0 × 2.2 mm</t>
  </si>
  <si>
    <t xml:space="preserve">https://tierramadre.app/p/351</t>
  </si>
  <si>
    <t xml:space="preserve">C-010</t>
  </si>
  <si>
    <t xml:space="preserve">https://drive.google.com/uc?export=view&amp;id=1fjZaoBw6btvyfKu_APy0d8v-lwxsSVEm</t>
  </si>
  <si>
    <t xml:space="preserve">https://tierramadre.app/product/351</t>
  </si>
  <si>
    <t xml:space="preserve">https://drive.google.com/drive/folders/1IErE5alHKGnapqDsQGSzyGfoEQMQIkbZ</t>
  </si>
  <si>
    <t xml:space="preserve">2026-07-18-lluvia-de-estrellas-item-351</t>
  </si>
  <si>
    <t xml:space="preserve">revisar: costo &lt;&lt; precio (posible error de escala ×1000)</t>
  </si>
  <si>
    <t xml:space="preserve">Lluvia de Estrellas - T</t>
  </si>
  <si>
    <t xml:space="preserve">https://tierramadre.app/p/352</t>
  </si>
  <si>
    <t xml:space="preserve">4 gemas Calibradas para topitos de Oro</t>
  </si>
  <si>
    <t xml:space="preserve">https://tierramadre.app/product/352</t>
  </si>
  <si>
    <t xml:space="preserve">https://drive.google.com/drive/folders/1mtPka2BDt5MmGPQM2DvDDqpOSmJXxYp0</t>
  </si>
  <si>
    <t xml:space="preserve">2026-07-18-lluvia-de-estrellas-t-item-352</t>
  </si>
  <si>
    <t xml:space="preserve">procedencia derivada de la mina del lote</t>
  </si>
  <si>
    <t xml:space="preserve">Territorio de Paz</t>
  </si>
  <si>
    <t xml:space="preserve">https://tierramadre.app/p/353</t>
  </si>
  <si>
    <t xml:space="preserve">C-011</t>
  </si>
  <si>
    <t xml:space="preserve">https://drive.google.com/uc?export=view&amp;id=1bw4oYtE1ej1CqKHk0o3Hn5rLAYKGUfA6</t>
  </si>
  <si>
    <t xml:space="preserve">https://tierramadre.app/product/353</t>
  </si>
  <si>
    <t xml:space="preserve">https://drive.google.com/drive/folders/19Na5GK_IxIiw0ppjQ1iVoA3LadOg4pBD</t>
  </si>
  <si>
    <t xml:space="preserve">2026-07-15-modelo-item-353-territorio-de-paz</t>
  </si>
  <si>
    <t xml:space="preserve">Flora ll</t>
  </si>
  <si>
    <t xml:space="preserve">6.7 × 9.6 × 2.5 mm</t>
  </si>
  <si>
    <t xml:space="preserve">https://tierramadre.app/p/354</t>
  </si>
  <si>
    <t xml:space="preserve">https://drive.google.com/uc?export=view&amp;id=1dadnqLK0MUF6hgCfr4kkMlq-UBXP3OL0</t>
  </si>
  <si>
    <t xml:space="preserve">https://tierramadre.app/product/354</t>
  </si>
  <si>
    <t xml:space="preserve">https://drive.google.com/drive/folders/1kq55XhUWzDEHJDKxCEfi5PKlIOqHMJma</t>
  </si>
  <si>
    <t xml:space="preserve">2026-07-15-modelo-item-354-flora-ii</t>
  </si>
  <si>
    <t xml:space="preserve">Florícienta</t>
  </si>
  <si>
    <t xml:space="preserve">6.8 × 9.7 × 2.3 mm</t>
  </si>
  <si>
    <t xml:space="preserve">https://tierramadre.app/p/355</t>
  </si>
  <si>
    <t xml:space="preserve">https://drive.google.com/uc?export=view&amp;id=1HVSXWWfUTzCyR4NvQ7aD82duu9uX_Yge</t>
  </si>
  <si>
    <t xml:space="preserve">https://tierramadre.app/product/355</t>
  </si>
  <si>
    <t xml:space="preserve">https://drive.google.com/drive/folders/1xz9fANPRJhRraD4i9tgSi8Qfe7rP90RJ</t>
  </si>
  <si>
    <t xml:space="preserve">2026-07-15-modelo-item-355-floricienta</t>
  </si>
  <si>
    <t xml:space="preserve">peso ct=1.1 (corregido; serial-fecha corrupto en origen)</t>
  </si>
  <si>
    <t xml:space="preserve">Rocas Sagradas - G2</t>
  </si>
  <si>
    <t xml:space="preserve">Piedra Natural</t>
  </si>
  <si>
    <t xml:space="preserve">https://tierramadre.app/p/356</t>
  </si>
  <si>
    <t xml:space="preserve">C-013</t>
  </si>
  <si>
    <t xml:space="preserve">https://drive.google.com/uc?export=view&amp;id=10vDeM4hLZlbknwJaxdi4tiUWVDa11B8y</t>
  </si>
  <si>
    <t xml:space="preserve">https://tierramadre.app/product/356</t>
  </si>
  <si>
    <t xml:space="preserve">https://drive.google.com/drive/folders/12GKoVJ_I8rPkeptQ1EqgluFLydg-gdsu</t>
  </si>
  <si>
    <t xml:space="preserve">2026-07-18-rocas-sagradas-g2-item-356</t>
  </si>
  <si>
    <t xml:space="preserve">Lunares de la Montaña</t>
  </si>
  <si>
    <t xml:space="preserve">3.2 mm</t>
  </si>
  <si>
    <t xml:space="preserve">https://tierramadre.app/p/357</t>
  </si>
  <si>
    <t xml:space="preserve">C-012</t>
  </si>
  <si>
    <t xml:space="preserve">https://drive.google.com/uc?export=view&amp;id=1GiOk96lmVkMC4HVNvJHyGwsTFk4rZ_Q1</t>
  </si>
  <si>
    <t xml:space="preserve">https://tierramadre.app/product/357</t>
  </si>
  <si>
    <t xml:space="preserve">https://drive.google.com/drive/folders/11IIJE9Zwk1IGQmZlpLb3nPYDP9Dch_1Z</t>
  </si>
  <si>
    <t xml:space="preserve">2026-07-18-lunares-de-la-montana-item-357</t>
  </si>
  <si>
    <t xml:space="preserve">Lagrimas de Felicidad</t>
  </si>
  <si>
    <t xml:space="preserve">3.8 mm</t>
  </si>
  <si>
    <t xml:space="preserve">https://tierramadre.app/p/358</t>
  </si>
  <si>
    <t xml:space="preserve">https://drive.google.com/uc?export=view&amp;id=1qe4Ba5rIhVr1Eg8Bv1n4nANuvE-2n5yR</t>
  </si>
  <si>
    <t xml:space="preserve">https://tierramadre.app/product/358</t>
  </si>
  <si>
    <t xml:space="preserve">https://drive.google.com/drive/folders/1Ymn__RKPpih43n33L2XK1cG05ngygDOU</t>
  </si>
  <si>
    <t xml:space="preserve">2026-07-18-lagrimas-de-felicidad-item-358</t>
  </si>
  <si>
    <t xml:space="preserve">Iguanas de La Montaña</t>
  </si>
  <si>
    <t xml:space="preserve">https://tierramadre.app/p/359</t>
  </si>
  <si>
    <t xml:space="preserve">https://drive.google.com/uc?export=view&amp;id=19E_8Ta5p1QvFHqS-XKqrSIW59sLFc7cf</t>
  </si>
  <si>
    <t xml:space="preserve">https://tierramadre.app/product/359</t>
  </si>
  <si>
    <t xml:space="preserve">https://drive.google.com/drive/folders/1c3iPTGROBx_XIZRmqf9CkRNfZpLzneRg</t>
  </si>
  <si>
    <t xml:space="preserve">2026-07-18-iguanas-de-la-montana-item-359</t>
  </si>
  <si>
    <t xml:space="preserve">Elementales</t>
  </si>
  <si>
    <t xml:space="preserve">https://tierramadre.app/p/360</t>
  </si>
  <si>
    <t xml:space="preserve">https://drive.google.com/uc?export=view&amp;id=1AAnnGD76Wj8SjIvbVJ48KvSMhv269Eu0</t>
  </si>
  <si>
    <t xml:space="preserve">https://tierramadre.app/product/360</t>
  </si>
  <si>
    <t xml:space="preserve">https://drive.google.com/drive/folders/1DcJE5_HvXi5IPtr547E_PIcHAVtQ9ZLe</t>
  </si>
  <si>
    <t xml:space="preserve">2026-07-18-elementales-item-360</t>
  </si>
  <si>
    <t xml:space="preserve">Huevos de Pascua</t>
  </si>
  <si>
    <t xml:space="preserve">https://tierramadre.app/p/361</t>
  </si>
  <si>
    <t xml:space="preserve">https://drive.google.com/uc?export=view&amp;id=14KYqbbfzsvq8df9dOWAfd1AImIYUT5yd</t>
  </si>
  <si>
    <t xml:space="preserve">https://tierramadre.app/product/361</t>
  </si>
  <si>
    <t xml:space="preserve">https://drive.google.com/drive/folders/14kzHGvKNm2ribFG5iHwUG5fqDZogxjJF</t>
  </si>
  <si>
    <t xml:space="preserve">2026-07-18-huevos-de-pascua-item-361</t>
  </si>
  <si>
    <t xml:space="preserve">Cuarto Menguante</t>
  </si>
  <si>
    <t xml:space="preserve">https://tierramadre.app/p/362</t>
  </si>
  <si>
    <t xml:space="preserve">https://drive.google.com/uc?export=view&amp;id=1brUK_JbRrC6Bc2xnIfQHGOy10ci6pL72</t>
  </si>
  <si>
    <t xml:space="preserve">https://tierramadre.app/product/362</t>
  </si>
  <si>
    <t xml:space="preserve">https://drive.google.com/drive/folders/1SrDe3lkjxBfUS4FR1m1xo9LlMvhI4N8D</t>
  </si>
  <si>
    <t xml:space="preserve">2026-07-18-cuarto-menguante-item-362</t>
  </si>
  <si>
    <t xml:space="preserve">Igualdad</t>
  </si>
  <si>
    <t xml:space="preserve">https://tierramadre.app/p/363</t>
  </si>
  <si>
    <t xml:space="preserve">https://drive.google.com/uc?export=view&amp;id=1K5JhVCQxccuNik3iIyFY77eqfVoo4Mwj</t>
  </si>
  <si>
    <t xml:space="preserve">https://tierramadre.app/product/363</t>
  </si>
  <si>
    <t xml:space="preserve">https://drive.google.com/drive/folders/1B2YQLRLNgYw954sNrOrM8QX2zm3Eqe5o</t>
  </si>
  <si>
    <t xml:space="preserve">2026-07-18-igualdad-item-363</t>
  </si>
  <si>
    <t xml:space="preserve">Lluvia de Bendiciones Calibradas</t>
  </si>
  <si>
    <t xml:space="preserve">3.6 mm</t>
  </si>
  <si>
    <t xml:space="preserve">https://tierramadre.app/p/364</t>
  </si>
  <si>
    <t xml:space="preserve">https://drive.google.com/uc?export=view&amp;id=1TGkjYAFaKJSFPkkf-bq2Gy0PKCaWObdT</t>
  </si>
  <si>
    <t xml:space="preserve">https://tierramadre.app/product/364</t>
  </si>
  <si>
    <t xml:space="preserve">https://drive.google.com/drive/folders/1zCqVBn3Bki1TLWgZKpy8KGfSa2VtRYkJ</t>
  </si>
  <si>
    <t xml:space="preserve">2026-07-18-lluvia-de-bendiciones-calibradas-item-364</t>
  </si>
  <si>
    <t xml:space="preserve">Monturas Topitos Plata Rodinada</t>
  </si>
  <si>
    <t xml:space="preserve">https://tierramadre.app/p/365</t>
  </si>
  <si>
    <t xml:space="preserve">C-014</t>
  </si>
  <si>
    <t xml:space="preserve">Lote de joyas</t>
  </si>
  <si>
    <t xml:space="preserve">Topitos Peq</t>
  </si>
  <si>
    <t xml:space="preserve">Rodinado</t>
  </si>
  <si>
    <t xml:space="preserve">['Plata Rodinada']</t>
  </si>
  <si>
    <t xml:space="preserve">https://drive.google.com/uc?export=view&amp;id=1jZcGoxjf_bK59IDLOuAgivhgSR7yCZBV</t>
  </si>
  <si>
    <t xml:space="preserve">https://tierramadre.app/product/365</t>
  </si>
  <si>
    <t xml:space="preserve">https://drive.google.com/drive/folders/1n3qZaqw9vE7PpimGNo1Wyf_TRqNzn4Br</t>
  </si>
  <si>
    <t xml:space="preserve">2026-07-18-monturas-topitos-plata-rodinada-item-365</t>
  </si>
  <si>
    <t xml:space="preserve">Ancestrales del Mar</t>
  </si>
  <si>
    <t xml:space="preserve">https://tierramadre.app/p/366</t>
  </si>
  <si>
    <t xml:space="preserve">C-015</t>
  </si>
  <si>
    <t xml:space="preserve">Aretes con Diseño de ballenas ancestrales</t>
  </si>
  <si>
    <t xml:space="preserve">Joya</t>
  </si>
  <si>
    <t xml:space="preserve">https://drive.google.com/uc?export=view&amp;id=1X7R2fiyYn0D0X1NJj_piW1818jAz2z25</t>
  </si>
  <si>
    <t xml:space="preserve">https://tierramadre.app/product/366</t>
  </si>
  <si>
    <t xml:space="preserve">https://drive.google.com/drive/folders/1g2-W8_rY-bh9kndNRWEAtsjyyVd4ceID</t>
  </si>
  <si>
    <t xml:space="preserve">2026-07-18-ancestrales-del-mar-item-366</t>
  </si>
  <si>
    <t xml:space="preserve">Belleza Del Caribe</t>
  </si>
  <si>
    <t xml:space="preserve">https://tierramadre.app/p/367</t>
  </si>
  <si>
    <t xml:space="preserve">C-016</t>
  </si>
  <si>
    <t xml:space="preserve">Anillo Mujer</t>
  </si>
  <si>
    <t xml:space="preserve">Filigrana</t>
  </si>
  <si>
    <t xml:space="preserve">['Plata 925']</t>
  </si>
  <si>
    <t xml:space="preserve">https://drive.google.com/uc?export=view&amp;id=1Psm466H805Ql-SSiynZwIY7DDFQQQn3w</t>
  </si>
  <si>
    <t xml:space="preserve">https://tierramadre.app/product/367</t>
  </si>
  <si>
    <t xml:space="preserve">https://drive.google.com/drive/folders/1F8XhAoOkqjpL62BwKP05-6Xk_pq3GVXO</t>
  </si>
  <si>
    <t xml:space="preserve">2026-07-18-belleza-del-caribe-item-367</t>
  </si>
  <si>
    <t xml:space="preserve">Las Artistas</t>
  </si>
  <si>
    <t xml:space="preserve">1.5 mm</t>
  </si>
  <si>
    <t xml:space="preserve">https://tierramadre.app/p/369</t>
  </si>
  <si>
    <t xml:space="preserve">C-018</t>
  </si>
  <si>
    <t xml:space="preserve">Muzo</t>
  </si>
  <si>
    <t xml:space="preserve">Piedras con detalles finos Organicos  - T.Madre</t>
  </si>
  <si>
    <t xml:space="preserve">https://drive.google.com/uc?export=view&amp;id=1vn3fAKRoPaT6BNu23Zx7WzEasHo14hOU</t>
  </si>
  <si>
    <t xml:space="preserve">https://tierramadre.app/product/369</t>
  </si>
  <si>
    <t xml:space="preserve">https://drive.google.com/drive/folders/15tp6DAi5YhyD_GT99HV85FTygG58n7hw</t>
  </si>
  <si>
    <t xml:space="preserve">2026-07-13-las-artistas-item-369</t>
  </si>
  <si>
    <t xml:space="preserve">Celeritas</t>
  </si>
  <si>
    <t xml:space="preserve">MODERATE</t>
  </si>
  <si>
    <t xml:space="preserve">1.4 mm</t>
  </si>
  <si>
    <t xml:space="preserve">https://tierramadre.app/p/370</t>
  </si>
  <si>
    <t xml:space="preserve">Cabeza de lote</t>
  </si>
  <si>
    <t xml:space="preserve">https://drive.google.com/uc?export=view&amp;id=1Jde-IBUp6cbVUHcbXBdPkQVteAMcFUI-</t>
  </si>
  <si>
    <t xml:space="preserve">https://tierramadre.app/product/370</t>
  </si>
  <si>
    <t xml:space="preserve">https://drive.google.com/drive/folders/1QG97yQbekDYPyLdEl3XTORvitXUQ17ua</t>
  </si>
  <si>
    <t xml:space="preserve">2026-07-13-celeritas-item-370</t>
  </si>
  <si>
    <t xml:space="preserve">Fotosintesis/Convex + ModeloPrecios + Ventas + CajaInventario</t>
  </si>
  <si>
    <t xml:space="preserve">Infinity</t>
  </si>
  <si>
    <t xml:space="preserve">1.4 ± 1.5 mm</t>
  </si>
  <si>
    <t xml:space="preserve">https://tierramadre.app/p/371</t>
  </si>
  <si>
    <t xml:space="preserve">https://drive.google.com/uc?export=view&amp;id=1nE9sC9gOWfeP5MkBGDGZg3davGJIYBfx</t>
  </si>
  <si>
    <t xml:space="preserve">https://tierramadre.app/product/371</t>
  </si>
  <si>
    <t xml:space="preserve">https://drive.google.com/drive/folders/1yZiSBY43q8mOIlgK5qffUfTWbBgIEp6z</t>
  </si>
  <si>
    <t xml:space="preserve">2026-07-13-infinity-item-371</t>
  </si>
  <si>
    <t xml:space="preserve">Tesoro</t>
  </si>
  <si>
    <t xml:space="preserve">1.3 ± 1.5 mm</t>
  </si>
  <si>
    <t xml:space="preserve">https://tierramadre.app/p/372</t>
  </si>
  <si>
    <t xml:space="preserve">https://drive.google.com/uc?export=view&amp;id=16Af0KfA3ne_69kV3obTjfHsSAG9mU_xR</t>
  </si>
  <si>
    <t xml:space="preserve">https://tierramadre.app/product/372</t>
  </si>
  <si>
    <t xml:space="preserve">https://drive.google.com/drive/folders/1imqRgQ8wHMuFtal-2jINAUxJzcAMm6F8</t>
  </si>
  <si>
    <t xml:space="preserve">2026-07-13-tesoro-item-372</t>
  </si>
  <si>
    <t xml:space="preserve">Koru</t>
  </si>
  <si>
    <t xml:space="preserve">https://tierramadre.app/p/373</t>
  </si>
  <si>
    <t xml:space="preserve">Koru: Simbolo tradicional de la cultura Maorí, nuevos comienzos</t>
  </si>
  <si>
    <t xml:space="preserve">https://drive.google.com/uc?export=view&amp;id=1KHWZFYS8VSXhmHro6N3zQvftkwrC62Cd</t>
  </si>
  <si>
    <t xml:space="preserve">https://tierramadre.app/product/373</t>
  </si>
  <si>
    <t xml:space="preserve">https://drive.google.com/drive/folders/1pEzRzbNoOsF-EoOV4n7-BjXxXE7YYj9V</t>
  </si>
  <si>
    <t xml:space="preserve">2026-07-13-chispitas-item-373</t>
  </si>
  <si>
    <t xml:space="preserve">Sendero al Cielo</t>
  </si>
  <si>
    <t xml:space="preserve">https://tierramadre.app/p/374</t>
  </si>
  <si>
    <t xml:space="preserve">https://drive.google.com/uc?export=view&amp;id=14AJ_HeRaYWQ9bLovqJIQbusxoSRUMJdR</t>
  </si>
  <si>
    <t xml:space="preserve">https://tierramadre.app/product/374</t>
  </si>
  <si>
    <t xml:space="preserve">https://drive.google.com/drive/folders/14UoHoZ9aeBOOn3h7WFDSmuXQ1UYKD3XL</t>
  </si>
  <si>
    <t xml:space="preserve">2026-07-13-sendero-al-cielo-item-374</t>
  </si>
  <si>
    <t xml:space="preserve">Luz del Universo</t>
  </si>
  <si>
    <t xml:space="preserve">1.3 mm</t>
  </si>
  <si>
    <t xml:space="preserve">https://tierramadre.app/p/375</t>
  </si>
  <si>
    <t xml:space="preserve">https://drive.google.com/uc?export=view&amp;id=10qYTqUqoza_eyUmZC8vmVyNXXui1JVAi</t>
  </si>
  <si>
    <t xml:space="preserve">https://tierramadre.app/product/375</t>
  </si>
  <si>
    <t xml:space="preserve">https://drive.google.com/drive/folders/1yELvxNp8UhlL2l_H6PPePXUP_SiaW8Nk</t>
  </si>
  <si>
    <t xml:space="preserve">2026-07-15-modelo-item-375-luz-del-universo</t>
  </si>
  <si>
    <t xml:space="preserve">Oniria Quanta</t>
  </si>
  <si>
    <t xml:space="preserve">https://tierramadre.app/p/376</t>
  </si>
  <si>
    <t xml:space="preserve">La unidad minima de Luz en el mundo de los sueños</t>
  </si>
  <si>
    <t xml:space="preserve">https://drive.google.com/uc?export=view&amp;id=14wn7pXtQ1_0VHV7l8IvcJk4ER3gwTNGL</t>
  </si>
  <si>
    <t xml:space="preserve">https://tierramadre.app/product/376</t>
  </si>
  <si>
    <t xml:space="preserve">https://drive.google.com/drive/folders/1o6Dyop8V5mLltODntx84WBnPtFHPIl6T</t>
  </si>
  <si>
    <t xml:space="preserve">2026-07-15-modelo-item-376-onoria-quanta</t>
  </si>
  <si>
    <t xml:space="preserve">Selva Luminosa</t>
  </si>
  <si>
    <t xml:space="preserve">https://tierramadre.app/p/377</t>
  </si>
  <si>
    <t xml:space="preserve">https://drive.google.com/uc?export=view&amp;id=1N4Jr1qQh5VUB7p5lAfjucADGI7vRIbdu</t>
  </si>
  <si>
    <t xml:space="preserve">https://tierramadre.app/product/377</t>
  </si>
  <si>
    <t xml:space="preserve">https://drive.google.com/drive/folders/1CLyIzz6-V-0RX5I2wHha47Zqn_SN6Cs6</t>
  </si>
  <si>
    <t xml:space="preserve">2026-07-13-selva-luminosa-item-377</t>
  </si>
  <si>
    <t xml:space="preserve">Atenea</t>
  </si>
  <si>
    <t xml:space="preserve">https://tierramadre.app/p/378</t>
  </si>
  <si>
    <t xml:space="preserve">https://drive.google.com/uc?export=view&amp;id=15peR3ubgaTnRWjxpDfaGSiQ3Jcqn2LwT</t>
  </si>
  <si>
    <t xml:space="preserve">https://tierramadre.app/product/378</t>
  </si>
  <si>
    <t xml:space="preserve">https://drive.google.com/drive/folders/1I7N1W6MidvKid7ec8v-ZIvAGfi5GtNWk</t>
  </si>
  <si>
    <t xml:space="preserve">2026-07-13-atenea-item-378</t>
  </si>
  <si>
    <t xml:space="preserve">Aión</t>
  </si>
  <si>
    <t xml:space="preserve">https://tierramadre.app/p/379</t>
  </si>
  <si>
    <t xml:space="preserve">https://drive.google.com/uc?export=view&amp;id=1sFIyIhr3z7Tfbz_RD6MSrHngRb0xkKpV</t>
  </si>
  <si>
    <t xml:space="preserve">https://tierramadre.app/product/379</t>
  </si>
  <si>
    <t xml:space="preserve">https://drive.google.com/drive/folders/1ri-L0Z-QdwLCYD1taVb-0ItW1znU9Gkd</t>
  </si>
  <si>
    <t xml:space="preserve">2026-07-15-modelo-item-379-aion</t>
  </si>
  <si>
    <t xml:space="preserve">Fotosintesis/Convex + ModeloPrecios + Kardex + CajaInventario</t>
  </si>
  <si>
    <t xml:space="preserve">Momentum</t>
  </si>
  <si>
    <t xml:space="preserve">1.1 mm</t>
  </si>
  <si>
    <t xml:space="preserve">https://tierramadre.app/p/380</t>
  </si>
  <si>
    <t xml:space="preserve">https://drive.google.com/uc?export=view&amp;id=1L5xwMQ-jRM7bgfV1FELeQ8cwe-axBwaL</t>
  </si>
  <si>
    <t xml:space="preserve">https://tierramadre.app/product/380</t>
  </si>
  <si>
    <t xml:space="preserve">https://drive.google.com/drive/folders/1V6GNegmuVbZUqT9IavCRMQZuiQr8sbMj</t>
  </si>
  <si>
    <t xml:space="preserve">2026-07-13-momentum-item-380</t>
  </si>
  <si>
    <t xml:space="preserve">Kairos</t>
  </si>
  <si>
    <t xml:space="preserve">https://tierramadre.app/p/381</t>
  </si>
  <si>
    <t xml:space="preserve">C-019</t>
  </si>
  <si>
    <t xml:space="preserve">https://drive.google.com/uc?export=view&amp;id=1Bm0gq0Gavy-XlNraMowXZW-x-pwYw9z7</t>
  </si>
  <si>
    <t xml:space="preserve">https://tierramadre.app/product/381</t>
  </si>
  <si>
    <t xml:space="preserve">https://drive.google.com/drive/folders/1ggl67sWTIh9Mz_wubZtfDDthcgzMVqCL</t>
  </si>
  <si>
    <t xml:space="preserve">2026-07-13-kairos-item-381</t>
  </si>
  <si>
    <t xml:space="preserve">Teia</t>
  </si>
  <si>
    <t xml:space="preserve">https://tierramadre.app/p/382</t>
  </si>
  <si>
    <t xml:space="preserve">https://drive.google.com/uc?export=view&amp;id=1RsTh9FauUbCoe7--2mI-iGQBoCaMGQwZ</t>
  </si>
  <si>
    <t xml:space="preserve">https://tierramadre.app/product/382</t>
  </si>
  <si>
    <t xml:space="preserve">https://drive.google.com/drive/folders/19wz2IBd7KLUCO7y5t__QJxy830LJ5LAi</t>
  </si>
  <si>
    <t xml:space="preserve">2026-07-13-teia-item-382</t>
  </si>
  <si>
    <t xml:space="preserve">Shou</t>
  </si>
  <si>
    <t xml:space="preserve">https://tierramadre.app/p/383</t>
  </si>
  <si>
    <t xml:space="preserve">https://drive.google.com/uc?export=view&amp;id=1PZFvP2xbsUTLu5kuIalWWCqErQJsPihz</t>
  </si>
  <si>
    <t xml:space="preserve">https://tierramadre.app/product/383</t>
  </si>
  <si>
    <t xml:space="preserve">https://drive.google.com/drive/folders/1ZMA4FFJKEFhLJJtiC2Br_5qHgI4Ex3xz</t>
  </si>
  <si>
    <t xml:space="preserve">2026-07-15-modelo-item-383-shou</t>
  </si>
  <si>
    <t xml:space="preserve">Quinto Elemento</t>
  </si>
  <si>
    <t xml:space="preserve">https://tierramadre.app/p/384</t>
  </si>
  <si>
    <t xml:space="preserve">C-020</t>
  </si>
  <si>
    <t xml:space="preserve">Engaste</t>
  </si>
  <si>
    <t xml:space="preserve">https://drive.google.com/uc?export=view&amp;id=1rD1ZUc6GOhEwvGmsryBmvEX3Y8QTPGBy</t>
  </si>
  <si>
    <t xml:space="preserve">https://tierramadre.app/product/384</t>
  </si>
  <si>
    <t xml:space="preserve">https://drive.google.com/drive/folders/1ynOL8-eihhD0G3bwj8DQ5XbymVFtk6zC</t>
  </si>
  <si>
    <t xml:space="preserve">2026-07-18-quinto-elemento-item-384</t>
  </si>
  <si>
    <t xml:space="preserve">Jupiter</t>
  </si>
  <si>
    <t xml:space="preserve">https://tierramadre.app/p/385</t>
  </si>
  <si>
    <t xml:space="preserve">C-021</t>
  </si>
  <si>
    <t xml:space="preserve">Anillo Hombre</t>
  </si>
  <si>
    <t xml:space="preserve">https://drive.google.com/uc?export=view&amp;id=1zbr1GIiZ-NZGaRBm-HU9ZJyVdKA_8elk</t>
  </si>
  <si>
    <t xml:space="preserve">https://tierramadre.app/product/385</t>
  </si>
  <si>
    <t xml:space="preserve">https://drive.google.com/drive/folders/1AVa8Is8vE4bJPaeKmWVtetb6ONt9PPkC</t>
  </si>
  <si>
    <t xml:space="preserve">2026-07-18-jupiter-item-385</t>
  </si>
  <si>
    <t xml:space="preserve">Kiwi</t>
  </si>
  <si>
    <t xml:space="preserve">https://tierramadre.app/p/386</t>
  </si>
  <si>
    <t xml:space="preserve">C-022</t>
  </si>
  <si>
    <t xml:space="preserve">Anillo de Mujer</t>
  </si>
  <si>
    <t xml:space="preserve">https://drive.google.com/uc?export=view&amp;id=134_qm9YfJq3EHcpLC5aP6P9w7w5HT4Xv</t>
  </si>
  <si>
    <t xml:space="preserve">https://tierramadre.app/product/386</t>
  </si>
  <si>
    <t xml:space="preserve">https://drive.google.com/drive/folders/1b4uGNmF0ynNwFvj81h4rJVVIXf3OF8Af</t>
  </si>
  <si>
    <t xml:space="preserve">2026-07-13-kiwi-item-386</t>
  </si>
  <si>
    <t xml:space="preserve">Caja (snapshot) registra comprador 'Tierra Madre' vs asesor actual 'Mauricio Echeverry Naranjo' — revisar si son ventas distintas o la copia está desactualizada. · procedencia derivada de la mina del lote</t>
  </si>
  <si>
    <t xml:space="preserve">Vuelo de la Sabana</t>
  </si>
  <si>
    <t xml:space="preserve">Joyería Artesanal</t>
  </si>
  <si>
    <t xml:space="preserve">https://tierramadre.app/p/387</t>
  </si>
  <si>
    <t xml:space="preserve">Mixto</t>
  </si>
  <si>
    <t xml:space="preserve">https://drive.google.com/uc?export=view&amp;id=1alTNKDRJ3zx06UFhNkLs_bOIcL_tPgP9</t>
  </si>
  <si>
    <t xml:space="preserve">https://tierramadre.app/product/387</t>
  </si>
  <si>
    <t xml:space="preserve">https://drive.google.com/drive/folders/1eB8b38cpcGKvCftCRIzguTmtwM5uDke9</t>
  </si>
  <si>
    <t xml:space="preserve">2026-07-15-modelo-item-387-renacer-de-primavera</t>
  </si>
  <si>
    <t xml:space="preserve">Libélulas del Llano</t>
  </si>
  <si>
    <t xml:space="preserve">https://tierramadre.app/p/388</t>
  </si>
  <si>
    <t xml:space="preserve">https://tierramadre.app/product/388</t>
  </si>
  <si>
    <t xml:space="preserve">https://drive.google.com/drive/folders/1gpqAcOIAW7qjCk7TyteXKz1xymQWDGDm</t>
  </si>
  <si>
    <t xml:space="preserve">2026-07-15-modelo-item-388-renacer-de-primavera</t>
  </si>
  <si>
    <t xml:space="preserve">Colibríes de la Sabana</t>
  </si>
  <si>
    <t xml:space="preserve">https://tierramadre.app/p/389</t>
  </si>
  <si>
    <t xml:space="preserve">https://tierramadre.app/product/389</t>
  </si>
  <si>
    <t xml:space="preserve">https://drive.google.com/drive/folders/1MUE4J3lDT44c6tvB22uw1FH4CQAH7OIY</t>
  </si>
  <si>
    <t xml:space="preserve">2026-07-15-modelo-item-389-renacer-de-primavera</t>
  </si>
  <si>
    <t xml:space="preserve">Libélulas Salvajes</t>
  </si>
  <si>
    <t xml:space="preserve">https://tierramadre.app/p/390</t>
  </si>
  <si>
    <t xml:space="preserve">https://tierramadre.app/product/390</t>
  </si>
  <si>
    <t xml:space="preserve">https://drive.google.com/drive/folders/1Q02k4nDuwEKwUw5l0A_S6Pm3srf7sR4Z</t>
  </si>
  <si>
    <t xml:space="preserve">2026-07-15-modelo-item-390-renacer-de-primavera</t>
  </si>
  <si>
    <t xml:space="preserve">Espíritu de la Sabana</t>
  </si>
  <si>
    <t xml:space="preserve">https://tierramadre.app/p/391</t>
  </si>
  <si>
    <t xml:space="preserve">https://tierramadre.app/product/391</t>
  </si>
  <si>
    <t xml:space="preserve">https://drive.google.com/drive/folders/1AMZFx4_3pOGaYczx2leRxFvq5_K0Ryx_</t>
  </si>
  <si>
    <t xml:space="preserve">2026-07-15-modelo-item-391-susurro-de-otono</t>
  </si>
  <si>
    <t xml:space="preserve">Libélulas del Alba</t>
  </si>
  <si>
    <t xml:space="preserve">https://tierramadre.app/p/392</t>
  </si>
  <si>
    <t xml:space="preserve">https://tierramadre.app/product/392</t>
  </si>
  <si>
    <t xml:space="preserve">https://drive.google.com/drive/folders/1eML4_UQeC8HYAagq2IrCkJM_ppqmbBNW</t>
  </si>
  <si>
    <t xml:space="preserve">2026-07-15-modelo-item-392-susurro-de-otono</t>
  </si>
  <si>
    <t xml:space="preserve">Ninfas de la Sabana</t>
  </si>
  <si>
    <t xml:space="preserve">https://tierramadre.app/p/393</t>
  </si>
  <si>
    <t xml:space="preserve">https://tierramadre.app/product/393</t>
  </si>
  <si>
    <t xml:space="preserve">https://drive.google.com/drive/folders/1vQHuCuTT2EtQNO8KlupDpciZ8w4w46DI</t>
  </si>
  <si>
    <t xml:space="preserve">2026-07-15-modelo-item-393-susurro-de-otono</t>
  </si>
  <si>
    <t xml:space="preserve">Libelulita</t>
  </si>
  <si>
    <t xml:space="preserve">https://tierramadre.app/p/394</t>
  </si>
  <si>
    <t xml:space="preserve">CARTERA cremal</t>
  </si>
  <si>
    <t xml:space="preserve">https://tierramadre.app/product/394</t>
  </si>
  <si>
    <t xml:space="preserve">https://drive.google.com/drive/folders/1_bw-vzU17MUj6ReQ4biDQLJzEqnXROy8</t>
  </si>
  <si>
    <t xml:space="preserve">2026-07-15-modelo-item-394-infinito-esmeralda</t>
  </si>
  <si>
    <t xml:space="preserve">Choker Rosa</t>
  </si>
  <si>
    <t xml:space="preserve">https://tierramadre.app/p/395</t>
  </si>
  <si>
    <t xml:space="preserve">C-023</t>
  </si>
  <si>
    <t xml:space="preserve">Gema: Iceberg #327 (ya en inventario)</t>
  </si>
  <si>
    <t xml:space="preserve">Choker</t>
  </si>
  <si>
    <t xml:space="preserve">['Bronce Baño de Oro']</t>
  </si>
  <si>
    <t xml:space="preserve">https://drive.google.com/uc?export=view&amp;id=1nsKF7GUNTc2D1-CUOBWZ73CQfMHe6Uyw</t>
  </si>
  <si>
    <t xml:space="preserve">https://tierramadre.app/product/395</t>
  </si>
  <si>
    <t xml:space="preserve">https://drive.google.com/drive/folders/1ZhsKB3WpLd61cSzvy2sfp2RIjk1EuERU</t>
  </si>
  <si>
    <t xml:space="preserve">2026-07-15-modelo-item-395-maximo-esplendor</t>
  </si>
  <si>
    <t xml:space="preserve">Fotosintesis/Convex + ModeloPrecios</t>
  </si>
  <si>
    <t xml:space="preserve">Flor del Solsticio de Primavera</t>
  </si>
  <si>
    <t xml:space="preserve">https://tierramadre.app/p/396</t>
  </si>
  <si>
    <t xml:space="preserve">Gema: Solsticio de Invierno #343 (ya en inventario)</t>
  </si>
  <si>
    <t xml:space="preserve">https://drive.google.com/uc?export=view&amp;id=1lxWxdOi-2_4Gaj4UE6CpcRFQzVP9qP7b</t>
  </si>
  <si>
    <t xml:space="preserve">https://tierramadre.app/product/396</t>
  </si>
  <si>
    <t xml:space="preserve">https://drive.google.com/drive/folders/1sv4b0JgpzsQzcJZwGuCrhya1MxanCyCo</t>
  </si>
  <si>
    <t xml:space="preserve">2026-07-15-modelo-item-396-maximo-esplendor</t>
  </si>
  <si>
    <t xml:space="preserve">Rositas</t>
  </si>
  <si>
    <t xml:space="preserve">https://tierramadre.app/p/397</t>
  </si>
  <si>
    <t xml:space="preserve">Gema: Burbujas de Amor #345 (ya en inventario)</t>
  </si>
  <si>
    <t xml:space="preserve">https://drive.google.com/uc?export=view&amp;id=11UXj_zkKBNiF02TSJXEjkVcQsz6PBaH5</t>
  </si>
  <si>
    <t xml:space="preserve">https://tierramadre.app/product/397</t>
  </si>
  <si>
    <t xml:space="preserve">https://drive.google.com/drive/folders/13iJ1UU8AoyQr5_jgPj0pamKmlChmjXLX</t>
  </si>
  <si>
    <t xml:space="preserve">2026-07-15-modelo-item-397-maximo-esplendor</t>
  </si>
  <si>
    <t xml:space="preserve">Choker Círculos</t>
  </si>
  <si>
    <t xml:space="preserve">https://tierramadre.app/p/398</t>
  </si>
  <si>
    <t xml:space="preserve">C-024</t>
  </si>
  <si>
    <t xml:space="preserve">Gema: Calma #341 (ya en inventario, lote C-007)</t>
  </si>
  <si>
    <t xml:space="preserve">https://drive.google.com/uc?export=view&amp;id=1Q7YhnIeNeZ8SUpnJ6XjRyjWRyOinsUmm</t>
  </si>
  <si>
    <t xml:space="preserve">C-024-G1</t>
  </si>
  <si>
    <t xml:space="preserve">https://tierramadre.app/product/398</t>
  </si>
  <si>
    <t xml:space="preserve">https://drive.google.com/drive/folders/1XwatQE-fbFMoMFNBS4umHP77CSQnGZlS</t>
  </si>
  <si>
    <t xml:space="preserve">2026-07-15-modelo-item-398-pecado-orginal</t>
  </si>
  <si>
    <t xml:space="preserve">Hojas de Otoño</t>
  </si>
  <si>
    <t xml:space="preserve">https://tierramadre.app/p/399</t>
  </si>
  <si>
    <t xml:space="preserve">Gema: Diástole y Sístole #344 (ya en inventario, lote C-007)</t>
  </si>
  <si>
    <t xml:space="preserve">https://drive.google.com/uc?export=view&amp;id=1tVdZhTPJtYxSUYB3Jxk9IyE_GM3Klsd-</t>
  </si>
  <si>
    <t xml:space="preserve">https://tierramadre.app/product/399</t>
  </si>
  <si>
    <t xml:space="preserve">https://drive.google.com/drive/folders/1DEKapPyBoDcaaXz8hrvjzdpiW5z-8o7P</t>
  </si>
  <si>
    <t xml:space="preserve">2026-07-15-modelo-item-399-pecado-orginal</t>
  </si>
  <si>
    <t xml:space="preserve">Anillo</t>
  </si>
  <si>
    <t xml:space="preserve">https://tierramadre.app/p/400</t>
  </si>
  <si>
    <t xml:space="preserve">C-025</t>
  </si>
  <si>
    <t xml:space="preserve">Gema: Integración del Corazón #329 (ya en inventario)</t>
  </si>
  <si>
    <t xml:space="preserve">https://drive.google.com/uc?export=view&amp;id=1F_xdEQDMGQocjcAq85E1YhZOXVCenwvD</t>
  </si>
  <si>
    <t xml:space="preserve">C-025-G1</t>
  </si>
  <si>
    <t xml:space="preserve">https://tierramadre.app/product/400</t>
  </si>
  <si>
    <t xml:space="preserve">https://drive.google.com/drive/folders/1fN_PokHdPB5KJhcYKSy9ZeWyC9aYathR</t>
  </si>
  <si>
    <t xml:space="preserve">2026-07-15-modelo-item-400-pecado-orginal</t>
  </si>
  <si>
    <t xml:space="preserve">Arete</t>
  </si>
  <si>
    <t xml:space="preserve">https://tierramadre.app/p/401</t>
  </si>
  <si>
    <t xml:space="preserve">Gemas: Grandeza de Dios #330 (1 de 5 unidades, ya en inventario) + Mar Profundo #328 (ya en inventario)</t>
  </si>
  <si>
    <t xml:space="preserve">https://drive.google.com/uc?export=view&amp;id=1JHUIQpFfyKUpWM0EOtYhfnushL4-kngo</t>
  </si>
  <si>
    <t xml:space="preserve">https://tierramadre.app/product/401</t>
  </si>
  <si>
    <t xml:space="preserve">https://drive.google.com/drive/folders/1RvBSSDsGUmN7tnYLzOyBpvmyng7XxRdM</t>
  </si>
  <si>
    <t xml:space="preserve">2026-07-15-modelo-item-401-pecado-orginal</t>
  </si>
  <si>
    <t xml:space="preserve">Infinito Esmeralda</t>
  </si>
  <si>
    <t xml:space="preserve">https://tierramadre.app/p/402</t>
  </si>
  <si>
    <t xml:space="preserve">C-026</t>
  </si>
  <si>
    <t xml:space="preserve">Piedra Murralla, calidad Comercial — incluida en el costo, no inventariada por separado</t>
  </si>
  <si>
    <t xml:space="preserve">https://drive.google.com/uc?export=view&amp;id=1z3xmvEDCehRn4MVHh8oRZeRPPnhqFxac</t>
  </si>
  <si>
    <t xml:space="preserve">https://tierramadre.app/product/402</t>
  </si>
  <si>
    <t xml:space="preserve">https://drive.google.com/drive/folders/1gkqdWJKMkJwilusdwp95wiuzPs8Til21</t>
  </si>
  <si>
    <t xml:space="preserve">2026-07-15-modelo-item-402-pecado-orginal</t>
  </si>
  <si>
    <t xml:space="preserve">Choker + Piedra</t>
  </si>
  <si>
    <t xml:space="preserve">https://tierramadre.app/p/403</t>
  </si>
  <si>
    <t xml:space="preserve">C-027</t>
  </si>
  <si>
    <t xml:space="preserve">Piedra Cristal y murralla, Comercial</t>
  </si>
  <si>
    <t xml:space="preserve">https://drive.google.com/uc?export=view&amp;id=14qrpowYLgrsK7v7FPTTX9gJtQPmRiN-Y</t>
  </si>
  <si>
    <t xml:space="preserve">C-027-G1</t>
  </si>
  <si>
    <t xml:space="preserve">https://tierramadre.app/product/403</t>
  </si>
  <si>
    <t xml:space="preserve">https://drive.google.com/drive/folders/1VErLKvtHiX7YVrS5VEDrd6voMUywedgX</t>
  </si>
  <si>
    <t xml:space="preserve">2026-07-15-modelo-item-403-naturaleza-viva</t>
  </si>
  <si>
    <t xml:space="preserve">Anillo + Piedra</t>
  </si>
  <si>
    <t xml:space="preserve">https://tierramadre.app/p/404</t>
  </si>
  <si>
    <t xml:space="preserve">https://drive.google.com/uc?export=view&amp;id=1p4h0Ep2lOCuDWh9Dii5oBlfa6x5Y1twZ</t>
  </si>
  <si>
    <t xml:space="preserve">https://tierramadre.app/product/404</t>
  </si>
  <si>
    <t xml:space="preserve">https://drive.google.com/drive/folders/12hH_wcPeZSWTcrc3SDmtpZ_hNlxon5dp</t>
  </si>
  <si>
    <t xml:space="preserve">2026-07-15-modelo-item-404-naturaleza-viva</t>
  </si>
  <si>
    <t xml:space="preserve">Brazalete + murralla</t>
  </si>
  <si>
    <t xml:space="preserve">https://tierramadre.app/p/405</t>
  </si>
  <si>
    <t xml:space="preserve">https://drive.google.com/uc?export=view&amp;id=1G6kyXj9leJOapxA2YRN9WYchFSuPdiuL</t>
  </si>
  <si>
    <t xml:space="preserve">https://tierramadre.app/product/405</t>
  </si>
  <si>
    <t xml:space="preserve">https://drive.google.com/drive/folders/1WxBaLY1BhjrZPERIaPKuz4hkjzgDXCI7</t>
  </si>
  <si>
    <t xml:space="preserve">2026-07-15-modelo-item-405-naturaleza-viva</t>
  </si>
  <si>
    <t xml:space="preserve">Aretes + murralla</t>
  </si>
  <si>
    <t xml:space="preserve">https://tierramadre.app/p/406</t>
  </si>
  <si>
    <t xml:space="preserve">murralla, Comercial</t>
  </si>
  <si>
    <t xml:space="preserve">https://drive.google.com/uc?export=view&amp;id=1pm4ezgGJgRfjfMJ5BaNAVx7oqyfdWiA0</t>
  </si>
  <si>
    <t xml:space="preserve">https://tierramadre.app/product/406</t>
  </si>
  <si>
    <t xml:space="preserve">https://drive.google.com/drive/folders/1jNx_g-i6L9-NinFz5aeKRi2XdK89IKVK</t>
  </si>
  <si>
    <t xml:space="preserve">2026-07-15-modelo-item-406-naturaleza-viva</t>
  </si>
  <si>
    <t xml:space="preserve">Choker derretido</t>
  </si>
  <si>
    <t xml:space="preserve">https://tierramadre.app/p/407</t>
  </si>
  <si>
    <t xml:space="preserve">C-028</t>
  </si>
  <si>
    <t xml:space="preserve">https://drive.google.com/uc?export=view&amp;id=14B6wocCE91gm1Fq8uIAu6VcPYfEE-xVJ</t>
  </si>
  <si>
    <t xml:space="preserve">C-028-G1</t>
  </si>
  <si>
    <t xml:space="preserve">https://tierramadre.app/product/407</t>
  </si>
  <si>
    <t xml:space="preserve">https://drive.google.com/drive/folders/13kbcC2iFCkouZy-GvpeacL5HG6k1VaMe</t>
  </si>
  <si>
    <t xml:space="preserve">2026-07-15-modelo-item-407-kundalini</t>
  </si>
  <si>
    <t xml:space="preserve">https://tierramadre.app/p/408</t>
  </si>
  <si>
    <t xml:space="preserve">https://drive.google.com/uc?export=view&amp;id=1c_GPTOAr-omkVDWll7y15ccrUDk6Z01Z</t>
  </si>
  <si>
    <t xml:space="preserve">https://tierramadre.app/product/408</t>
  </si>
  <si>
    <t xml:space="preserve">https://drive.google.com/drive/folders/1dJs20l30mIrDz6A0Dd_JuuYA7oHsyy8Z</t>
  </si>
  <si>
    <t xml:space="preserve">2026-07-15-modelo-item-408-kundalini</t>
  </si>
  <si>
    <t xml:space="preserve">https://tierramadre.app/p/409</t>
  </si>
  <si>
    <t xml:space="preserve">https://drive.google.com/uc?export=view&amp;id=1xP5oIgpi-x2udZU6Ey173NvhDCPkpBnQ</t>
  </si>
  <si>
    <t xml:space="preserve">https://tierramadre.app/product/409</t>
  </si>
  <si>
    <t xml:space="preserve">https://drive.google.com/drive/folders/1GvvNn24BvIL2XV7Vze9kNDL32C4XYydM</t>
  </si>
  <si>
    <t xml:space="preserve">2026-07-15-modelo-item-409-kundalini</t>
  </si>
  <si>
    <t xml:space="preserve">https://tierramadre.app/p/410</t>
  </si>
  <si>
    <t xml:space="preserve">C-029</t>
  </si>
  <si>
    <t xml:space="preserve">https://drive.google.com/uc?export=view&amp;id=1f00TaY2zdyiCQTbILwPra1s0HITLlSxz</t>
  </si>
  <si>
    <t xml:space="preserve">C-029-G1</t>
  </si>
  <si>
    <t xml:space="preserve">https://tierramadre.app/product/410</t>
  </si>
  <si>
    <t xml:space="preserve">https://drive.google.com/drive/folders/1biRW9_0rlAp8l41VHZSrNjrh7rGOm_Gs</t>
  </si>
  <si>
    <t xml:space="preserve">2026-07-15-modelo-item-410-lirios-del-agua</t>
  </si>
  <si>
    <t xml:space="preserve">https://tierramadre.app/p/411</t>
  </si>
  <si>
    <t xml:space="preserve">https://drive.google.com/uc?export=view&amp;id=1EQ7W9bSfDhqA-uJJgQ_e53GVceePYKFf</t>
  </si>
  <si>
    <t xml:space="preserve">https://tierramadre.app/product/411</t>
  </si>
  <si>
    <t xml:space="preserve">https://drive.google.com/drive/folders/18fKpG_3Lg6Wk4xLgI6dO1x-Kt2_4H19i</t>
  </si>
  <si>
    <t xml:space="preserve">2026-07-15-modelo-item-411-lirios-del-agua</t>
  </si>
  <si>
    <t xml:space="preserve">https://tierramadre.app/p/412</t>
  </si>
  <si>
    <t xml:space="preserve">C-030</t>
  </si>
  <si>
    <t xml:space="preserve">https://drive.google.com/uc?export=view&amp;id=16a1ivArAJwFgnYr6vFWgIhXm0IswSmsx</t>
  </si>
  <si>
    <t xml:space="preserve">C-030-G1</t>
  </si>
  <si>
    <t xml:space="preserve">https://tierramadre.app/product/412</t>
  </si>
  <si>
    <t xml:space="preserve">https://drive.google.com/drive/folders/1uM8gvBl7-0oAtGm4hOSt9CRX18QeFwNl</t>
  </si>
  <si>
    <t xml:space="preserve">2026-07-15-modelo-item-412-lirios-del-agua</t>
  </si>
  <si>
    <t xml:space="preserve">https://tierramadre.app/p/413</t>
  </si>
  <si>
    <t xml:space="preserve">https://drive.google.com/uc?export=view&amp;id=127VjutpTqDokJyR2vTBxXGbzWsXxPu4S</t>
  </si>
  <si>
    <t xml:space="preserve">https://tierramadre.app/product/413</t>
  </si>
  <si>
    <t xml:space="preserve">https://drive.google.com/drive/folders/1M6COIO91wwW-7BFEm22__W2LABMDGcgC</t>
  </si>
  <si>
    <t xml:space="preserve">2026-07-15-modelo-item-413-lirios-del-agua</t>
  </si>
  <si>
    <t xml:space="preserve">https://tierramadre.app/p/414</t>
  </si>
  <si>
    <t xml:space="preserve">https://drive.google.com/uc?export=view&amp;id=153fmFOv5yAmIUqCsVJ5a2gHq7RBZ5_wb</t>
  </si>
  <si>
    <t xml:space="preserve">https://tierramadre.app/product/414</t>
  </si>
  <si>
    <t xml:space="preserve">https://drive.google.com/drive/folders/19cnRMN24i3gpd_NqKH3nvpiGNIKJ6gXS</t>
  </si>
  <si>
    <t xml:space="preserve">2026-07-15-modelo-item-414-maestros-del-aire</t>
  </si>
  <si>
    <t xml:space="preserve">https://tierramadre.app/p/415</t>
  </si>
  <si>
    <t xml:space="preserve">C-031</t>
  </si>
  <si>
    <t xml:space="preserve">https://drive.google.com/uc?export=view&amp;id=1j6ZLpfH5fvWYZSA2jRFAl8w5NTNPG0jY</t>
  </si>
  <si>
    <t xml:space="preserve">C-031-G1</t>
  </si>
  <si>
    <t xml:space="preserve">https://tierramadre.app/product/415</t>
  </si>
  <si>
    <t xml:space="preserve">https://drive.google.com/drive/folders/1ls0X7cFCNO-1zL_SJqYzarbEzQM3KF4k</t>
  </si>
  <si>
    <t xml:space="preserve">2026-07-15-modelo-item-415-maestros-del-aire</t>
  </si>
  <si>
    <t xml:space="preserve">https://tierramadre.app/p/416</t>
  </si>
  <si>
    <t xml:space="preserve">https://drive.google.com/uc?export=view&amp;id=1DbnCTQAYcr-oFO7PDMnkBVPKrs2R0oxD</t>
  </si>
  <si>
    <t xml:space="preserve">https://tierramadre.app/product/416</t>
  </si>
  <si>
    <t xml:space="preserve">https://drive.google.com/drive/folders/11JG7-r8S_UD5ulGaJ49WOHKjUb-E7nsT</t>
  </si>
  <si>
    <t xml:space="preserve">2026-07-15-modelo-item-416-maestros-del-aire</t>
  </si>
  <si>
    <t xml:space="preserve">Soberana</t>
  </si>
  <si>
    <t xml:space="preserve">https://tierramadre.app/p/417</t>
  </si>
  <si>
    <t xml:space="preserve">C-032</t>
  </si>
  <si>
    <t xml:space="preserve">https://drive.google.com/uc?export=view&amp;id=14zem9J9JlMqs9ndcvo05x5ydy8BnAImD</t>
  </si>
  <si>
    <t xml:space="preserve">https://tierramadre.app/product/417</t>
  </si>
  <si>
    <t xml:space="preserve">https://drive.google.com/drive/folders/1XLlxgQkLmGf4KsEDRQOYXnaa0HltqkGU</t>
  </si>
  <si>
    <t xml:space="preserve">2026-07-15-modelo-item-417-soberana</t>
  </si>
  <si>
    <t xml:space="preserve">Noche Eclipsada</t>
  </si>
  <si>
    <t xml:space="preserve">https://tierramadre.app/p/418</t>
  </si>
  <si>
    <t xml:space="preserve">C-033</t>
  </si>
  <si>
    <t xml:space="preserve">https://drive.google.com/uc?export=view&amp;id=19SzjAM_OqKqnzNGivHCRCLJsQFCqe_9R</t>
  </si>
  <si>
    <t xml:space="preserve">https://tierramadre.app/product/418</t>
  </si>
  <si>
    <t xml:space="preserve">https://drive.google.com/drive/folders/10TDiRUkocNb1aEzAxeIODLgdrA4BC-G3</t>
  </si>
  <si>
    <t xml:space="preserve">2026-07-15-modelo-item-418-noche-eclipsada</t>
  </si>
  <si>
    <t xml:space="preserve">Pares de tópitos plata rodinada</t>
  </si>
  <si>
    <t xml:space="preserve">https://tierramadre.app/p/419</t>
  </si>
  <si>
    <t xml:space="preserve">https://tierramadre.app/product/419</t>
  </si>
  <si>
    <t xml:space="preserve">https://drive.google.com/drive/folders/14qgF--cvq9OwYHkFydgb6sVDzkei3xI2</t>
  </si>
  <si>
    <t xml:space="preserve">2026-07-18-pares-de-topitos-plata-rodinada-item-419</t>
  </si>
  <si>
    <t xml:space="preserve">Legacy + Fotosintesis/Convex + Kardex</t>
  </si>
  <si>
    <t xml:space="preserve">Lote de gemas redondas</t>
  </si>
  <si>
    <t xml:space="preserve">Gemas sueltas</t>
  </si>
  <si>
    <t xml:space="preserve">https://tierramadre.app/p/420</t>
  </si>
  <si>
    <t xml:space="preserve">https://tierramadre.app/product/420</t>
  </si>
  <si>
    <t xml:space="preserve">https://drive.google.com/drive/folders/1ldxtUoPeOqj8L-15CW6aUd6uOP3N1vfz</t>
  </si>
  <si>
    <t xml:space="preserve">2026-07-18-lote-de-gemas-redondas-item-420</t>
  </si>
  <si>
    <t xml:space="preserve">Topitos plata esmeralda, comercial estándar</t>
  </si>
  <si>
    <t xml:space="preserve">Pablo Loaiza</t>
  </si>
  <si>
    <t xml:space="preserve">https://tierramadre.app/p/421</t>
  </si>
  <si>
    <t xml:space="preserve">https://tierramadre.app/product/421</t>
  </si>
  <si>
    <t xml:space="preserve">https://drive.google.com/drive/folders/1FwChwAG7_WAfDZ2HmNwun1wT5BtT4cUg</t>
  </si>
  <si>
    <t xml:space="preserve">2026-07-18-topitos-plata-esmeralda-comercial-estandar-item-421</t>
  </si>
  <si>
    <t xml:space="preserve">Topitos plata rodinada, comercial fina</t>
  </si>
  <si>
    <t xml:space="preserve">https://tierramadre.app/p/422</t>
  </si>
  <si>
    <t xml:space="preserve">https://tierramadre.app/product/422</t>
  </si>
  <si>
    <t xml:space="preserve">https://drive.google.com/drive/folders/1L83IEhUuqNsFpxGW-2Yt8pfwsYLg7I0H</t>
  </si>
  <si>
    <t xml:space="preserve">2026-07-18-topitos-plata-rodinada-comercial-fina-item-422</t>
  </si>
  <si>
    <t xml:space="preserve">Topitos plata, comercial superior</t>
  </si>
  <si>
    <t xml:space="preserve">https://tierramadre.app/p/423</t>
  </si>
  <si>
    <t xml:space="preserve">https://tierramadre.app/product/423</t>
  </si>
  <si>
    <t xml:space="preserve">https://drive.google.com/drive/folders/1HFLJrj2yA-q3jgvJY7ML5E8cSM_MENYi</t>
  </si>
  <si>
    <t xml:space="preserve">2026-07-18-topitos-plata-comercial-superior-item-423</t>
  </si>
  <si>
    <t xml:space="preserve">Topitos plata, comercial aparente/superfina</t>
  </si>
  <si>
    <t xml:space="preserve">https://tierramadre.app/p/424</t>
  </si>
  <si>
    <t xml:space="preserve">https://tierramadre.app/product/424</t>
  </si>
  <si>
    <t xml:space="preserve">https://drive.google.com/drive/folders/1XYJoIAsFFj92j2GOT9vzhXZmJuWV_5HI</t>
  </si>
  <si>
    <t xml:space="preserve">2026-07-18-topitos-plata-comercial-aparente-superfina-item-424</t>
  </si>
  <si>
    <t xml:space="preserve">Andromeda - C010</t>
  </si>
  <si>
    <t xml:space="preserve">Rectangular</t>
  </si>
  <si>
    <t xml:space="preserve">3.9 mm</t>
  </si>
  <si>
    <t xml:space="preserve">https://tierramadre.app/p/425</t>
  </si>
  <si>
    <t xml:space="preserve">https://drive.google.com/uc?export=view&amp;id=1Or679c4lIu5eY9np0suIQFaCrfpLcwoV</t>
  </si>
  <si>
    <t xml:space="preserve">https://tierramadre.app/product/425</t>
  </si>
  <si>
    <t xml:space="preserve">https://drive.google.com/drive/folders/1lDY7BW6pGkFizvDEui5XJt0QKyOOGPzD</t>
  </si>
  <si>
    <t xml:space="preserve">2026-07-13-andromeda-c010-item-425</t>
  </si>
  <si>
    <t xml:space="preserve">Pandora</t>
  </si>
  <si>
    <t xml:space="preserve">2.7 × 2.2 mm</t>
  </si>
  <si>
    <t xml:space="preserve">https://tierramadre.app/p/426</t>
  </si>
  <si>
    <t xml:space="preserve">https://drive.google.com/uc?export=view&amp;id=1NvvWhfHF_h0alMGf94sP8EpKsN7CIwT8</t>
  </si>
  <si>
    <t xml:space="preserve">https://tierramadre.app/product/426</t>
  </si>
  <si>
    <t xml:space="preserve">https://drive.google.com/drive/folders/1lm8QBqLBaLJReXukW9zwHZc-bhndqoTw</t>
  </si>
  <si>
    <t xml:space="preserve">2026-07-13-namek-item-426</t>
  </si>
  <si>
    <t xml:space="preserve">Namek</t>
  </si>
  <si>
    <t xml:space="preserve">https://tierramadre.app/p/427</t>
  </si>
  <si>
    <t xml:space="preserve">https://drive.google.com/uc?export=view&amp;id=1bJpRyUUBRjaoF_sF93r9Dxim7yVTDxht</t>
  </si>
  <si>
    <t xml:space="preserve">https://tierramadre.app/product/427</t>
  </si>
  <si>
    <t xml:space="preserve">https://drive.google.com/drive/folders/1YgXkqqoNA1mq7CRXWgIfyXDneyuBkzpD</t>
  </si>
  <si>
    <t xml:space="preserve">2026-07-13-namek-item-427</t>
  </si>
  <si>
    <t xml:space="preserve">Cinturon de Orion</t>
  </si>
  <si>
    <t xml:space="preserve">https://tierramadre.app/p/428</t>
  </si>
  <si>
    <t xml:space="preserve">https://drive.google.com/uc?export=view&amp;id=1pfocBMZRb8E7J4KAEoYcCFLZ3kESTVTM</t>
  </si>
  <si>
    <t xml:space="preserve">https://tierramadre.app/product/428</t>
  </si>
  <si>
    <t xml:space="preserve">https://drive.google.com/drive/folders/1C8vRwri5gJELlQsPnWoU3vLM_-xOZ20a</t>
  </si>
  <si>
    <t xml:space="preserve">2026-07-13-cinturon-de-orion-item-428</t>
  </si>
  <si>
    <t xml:space="preserve">Coral</t>
  </si>
  <si>
    <t xml:space="preserve">https://tierramadre.app/p/429</t>
  </si>
  <si>
    <t xml:space="preserve">https://tierramadre.app/product/429</t>
  </si>
  <si>
    <t xml:space="preserve">https://drive.google.com/drive/folders/1iUNRpQjbDvdTpuGBUah_5qM-3Qm-G5G6</t>
  </si>
  <si>
    <t xml:space="preserve">2026-07-15-modelo-item-429-coral</t>
  </si>
  <si>
    <t xml:space="preserve">Estrellas de la Tierra</t>
  </si>
  <si>
    <t xml:space="preserve">Dúo Gemas</t>
  </si>
  <si>
    <t xml:space="preserve">https://tierramadre.app/p/430</t>
  </si>
  <si>
    <t xml:space="preserve">https://tierramadre.app/product/430</t>
  </si>
  <si>
    <t xml:space="preserve">https://drive.google.com/drive/folders/1MqAWMYqDuhL_lcUZLcGU7NV6ZOyJVbRd</t>
  </si>
  <si>
    <t xml:space="preserve">2026-07-15-modelo-item-430-estrella-de-la-tierra</t>
  </si>
  <si>
    <t xml:space="preserve">Toj</t>
  </si>
  <si>
    <t xml:space="preserve">6 × 5.2 mm</t>
  </si>
  <si>
    <t xml:space="preserve">https://tierramadre.app/p/431</t>
  </si>
  <si>
    <t xml:space="preserve">https://tierramadre.app/product/431</t>
  </si>
  <si>
    <t xml:space="preserve">https://drive.google.com/drive/folders/10kiuhv12ujZ9dewFlnydqnqryZcuHIy8</t>
  </si>
  <si>
    <t xml:space="preserve">2026-07-15-modelo-item-431-toj</t>
  </si>
  <si>
    <t xml:space="preserve">Kawok</t>
  </si>
  <si>
    <t xml:space="preserve">5.5 × 4.7 mm</t>
  </si>
  <si>
    <t xml:space="preserve">https://tierramadre.app/p/432</t>
  </si>
  <si>
    <t xml:space="preserve">https://tierramadre.app/product/432</t>
  </si>
  <si>
    <t xml:space="preserve">https://drive.google.com/drive/folders/1NIwg82yP8m57kuziHFove9SWFvtScjJm</t>
  </si>
  <si>
    <t xml:space="preserve">2026-07-15-modelo-item-432-kawok</t>
  </si>
  <si>
    <t xml:space="preserve">Ojo de Dragón</t>
  </si>
  <si>
    <t xml:space="preserve">5.8 mm</t>
  </si>
  <si>
    <t xml:space="preserve">https://tierramadre.app/p/433</t>
  </si>
  <si>
    <t xml:space="preserve">https://tierramadre.app/product/433</t>
  </si>
  <si>
    <t xml:space="preserve">https://drive.google.com/drive/folders/1NxF-p7XRew42j4iAjOt26arbyHd40s34</t>
  </si>
  <si>
    <t xml:space="preserve">2026-07-15-modelo-item-433-ojo-de-dragon</t>
  </si>
  <si>
    <t xml:space="preserve">Rocas Lunares - Sub-lote 1</t>
  </si>
  <si>
    <t xml:space="preserve">Lote Piedras</t>
  </si>
  <si>
    <t xml:space="preserve">https://tierramadre.app/p/434</t>
  </si>
  <si>
    <t xml:space="preserve">C-034</t>
  </si>
  <si>
    <t xml:space="preserve">https://drive.google.com/uc?export=view&amp;id=1VUIF_YakumVRfW5oshcNf2mQ2u6IMgzc</t>
  </si>
  <si>
    <t xml:space="preserve">https://tierramadre.app/product/434</t>
  </si>
  <si>
    <t xml:space="preserve">https://drive.google.com/drive/folders/1K8AULUh3-szBEqZ8qt5w6zAjSxW60wTz</t>
  </si>
  <si>
    <t xml:space="preserve">2026-07-15-modelo-item-434-rocas-lunares-sub-1 · 2026-07-15-rocas-lunares-sub1-item-434</t>
  </si>
  <si>
    <t xml:space="preserve">Rocas Lunares - Sub-lote 2</t>
  </si>
  <si>
    <t xml:space="preserve">https://tierramadre.app/p/435</t>
  </si>
  <si>
    <t xml:space="preserve">https://drive.google.com/uc?export=view&amp;id=1fOii22TuRUJex0y_i-ohYF5zUW9NAiLA</t>
  </si>
  <si>
    <t xml:space="preserve">https://tierramadre.app/product/435</t>
  </si>
  <si>
    <t xml:space="preserve">https://drive.google.com/drive/folders/1KB8XpAO09zenxOkxp4g3X5unbxc4eFPR</t>
  </si>
  <si>
    <t xml:space="preserve">2026-07-15-modelo-item-435-rocas-lunares-sub-2 · 2026-07-15-rocas-lunares-sub2-item-435</t>
  </si>
  <si>
    <t xml:space="preserve">Rocas Lunares - Sub-lote 3</t>
  </si>
  <si>
    <t xml:space="preserve">https://tierramadre.app/p/436</t>
  </si>
  <si>
    <t xml:space="preserve">https://drive.google.com/uc?export=view&amp;id=12lajzetPiS2bSmWN4FJf0XsKmqPiYn6w</t>
  </si>
  <si>
    <t xml:space="preserve">https://tierramadre.app/product/436</t>
  </si>
  <si>
    <t xml:space="preserve">https://drive.google.com/drive/folders/1cHSwbA82wyLD8TA1OP9nfkDybCCxrLa_</t>
  </si>
  <si>
    <t xml:space="preserve">2026-07-15-modelo-item-436-rocas-lunares-sub-3 · 2026-07-15-rocas-lunares-sub3-item-436</t>
  </si>
  <si>
    <t xml:space="preserve">Rocas Lunares - Sub-lote 4</t>
  </si>
  <si>
    <t xml:space="preserve">Verde Cristal</t>
  </si>
  <si>
    <t xml:space="preserve">Rarezas</t>
  </si>
  <si>
    <t xml:space="preserve">https://tierramadre.app/p/437</t>
  </si>
  <si>
    <t xml:space="preserve">https://drive.google.com/uc?export=view&amp;id=1UQY3geN6mLGu6mRCCqSJVvNj95GsEIXu</t>
  </si>
  <si>
    <t xml:space="preserve">https://tierramadre.app/product/437</t>
  </si>
  <si>
    <t xml:space="preserve">https://drive.google.com/drive/folders/1pGP5qE0VQQGwNw4Wv9S65vSYTGvwr8Xt</t>
  </si>
  <si>
    <t xml:space="preserve">2026-07-15-modelo-item-437-rocas-lunares-sub-4 · 2026-07-15-rocas-lunares-sub4-item-437</t>
  </si>
  <si>
    <t xml:space="preserve">Rocas Lunares - Sub-lote 5</t>
  </si>
  <si>
    <t xml:space="preserve">https://tierramadre.app/p/438</t>
  </si>
  <si>
    <t xml:space="preserve">https://drive.google.com/uc?export=view&amp;id=1oaNbbNp-b5cVO2eNSXk7ZYLmfbtZTWsR</t>
  </si>
  <si>
    <t xml:space="preserve">https://tierramadre.app/product/438</t>
  </si>
  <si>
    <t xml:space="preserve">https://drive.google.com/drive/folders/1MZwePRqVu2a1WlxR9d0LLy1hIqaQV7oW</t>
  </si>
  <si>
    <t xml:space="preserve">2026-07-15-modelo-item-438-rocas-lunares-sub-5 · 2026-07-15-rocas-lunares-sub5-item-438</t>
  </si>
  <si>
    <t xml:space="preserve">Destellos Gemelos</t>
  </si>
  <si>
    <t xml:space="preserve">4.8 × 3 mm</t>
  </si>
  <si>
    <t xml:space="preserve">https://tierramadre.app/p/439</t>
  </si>
  <si>
    <t xml:space="preserve">https://tierramadre.app/product/439</t>
  </si>
  <si>
    <t xml:space="preserve">https://drive.google.com/drive/folders/16_8Whax3mQV47AfVbu--pyZ_uE4D3oXw</t>
  </si>
  <si>
    <t xml:space="preserve">2026-07-18-destellos-gemelos-item-439</t>
  </si>
  <si>
    <t xml:space="preserve">Legacy + Fotosintesis/Convex</t>
  </si>
  <si>
    <t xml:space="preserve">Reflejos del Sol</t>
  </si>
  <si>
    <t xml:space="preserve">5.3 × 3.2 mm</t>
  </si>
  <si>
    <t xml:space="preserve">https://tierramadre.app/p/440</t>
  </si>
  <si>
    <t xml:space="preserve">https://tierramadre.app/product/440</t>
  </si>
  <si>
    <t xml:space="preserve">https://drive.google.com/drive/folders/1__f2gfc519myY3PI2j6ObWYIfCnckIh4</t>
  </si>
  <si>
    <t xml:space="preserve">2026-07-18-reflejos-del-sol-item-440</t>
  </si>
  <si>
    <t xml:space="preserve">https://tierramadre.app/p/441</t>
  </si>
  <si>
    <t xml:space="preserve">https://tierramadre.app/product/441</t>
  </si>
  <si>
    <t xml:space="preserve">https://drive.google.com/drive/folders/1GKZoiHJg5Cpw_2Q8U6WCSa_BLUipOE_b</t>
  </si>
  <si>
    <t xml:space="preserve">2026-07-18-vida-item-441</t>
  </si>
  <si>
    <t xml:space="preserve">Poseidón</t>
  </si>
  <si>
    <t xml:space="preserve">Verde profundo</t>
  </si>
  <si>
    <t xml:space="preserve">6 × 5.5 mm</t>
  </si>
  <si>
    <t xml:space="preserve">https://tierramadre.app/p/442</t>
  </si>
  <si>
    <t xml:space="preserve">C-052</t>
  </si>
  <si>
    <t xml:space="preserve">https://tierramadre.app/product/442</t>
  </si>
  <si>
    <t xml:space="preserve">https://drive.google.com/drive/folders/1po8l7LZAGFy9s5u5nmx7qxHHMJ1sywFW</t>
  </si>
  <si>
    <t xml:space="preserve">2026-07-18-poseidon-item-442</t>
  </si>
  <si>
    <t xml:space="preserve">Legacy + Fotosintesis/Convex + ModeloPrecios</t>
  </si>
  <si>
    <t xml:space="preserve">Calidad difiere: legacy=FINA COMERCIAL vs modeloPrecios=Calidad</t>
  </si>
  <si>
    <t xml:space="preserve">Luz del Sol</t>
  </si>
  <si>
    <t xml:space="preserve">4.6 × 3.8 mm</t>
  </si>
  <si>
    <t xml:space="preserve">https://tierramadre.app/p/443</t>
  </si>
  <si>
    <t xml:space="preserve">https://tierramadre.app/product/443</t>
  </si>
  <si>
    <t xml:space="preserve">https://drive.google.com/drive/folders/1_uzZ-KlbflYojvHXV7cZ7J1xjhYWMSRx</t>
  </si>
  <si>
    <t xml:space="preserve">2026-07-18-luz-del-sol-item-443</t>
  </si>
  <si>
    <t xml:space="preserve">Aurora Escondida</t>
  </si>
  <si>
    <t xml:space="preserve">Semicuadrada</t>
  </si>
  <si>
    <t xml:space="preserve">5 × 4.6 mm</t>
  </si>
  <si>
    <t xml:space="preserve">https://tierramadre.app/p/444</t>
  </si>
  <si>
    <t xml:space="preserve">https://tierramadre.app/product/444</t>
  </si>
  <si>
    <t xml:space="preserve">https://drive.google.com/drive/folders/1HLkCLHh8Jv0d8AkCYEpM1-iscYbYl7oi</t>
  </si>
  <si>
    <t xml:space="preserve">2026-07-18-aurora-escondida-item-444</t>
  </si>
  <si>
    <t xml:space="preserve">Base anillo mujer en plata</t>
  </si>
  <si>
    <t xml:space="preserve">Otro</t>
  </si>
  <si>
    <t xml:space="preserve">https://tierramadre.app/p/445</t>
  </si>
  <si>
    <t xml:space="preserve">C-035</t>
  </si>
  <si>
    <t xml:space="preserve">9 bases compradas ($261.000, factura Taller de Bronce El Rey). Consumidas en anillos terminados (Grecia #80, Ra, Capricornio, Andromeda, Misterio, Encantada, Danza, Boreal, Luz del Sol). Registro de compra para trazar costo, no stock disponible.</t>
  </si>
  <si>
    <t xml:space="preserve">https://tierramadre.app/product/445</t>
  </si>
  <si>
    <t xml:space="preserve">https://drive.google.com/drive/folders/1grqeVN4Cf94VzRXNdjYQv3sBQnvssimu</t>
  </si>
  <si>
    <t xml:space="preserve">2026-07-18-base-anillo-mujer-en-plata-item-445</t>
  </si>
  <si>
    <t xml:space="preserve">Esferas del Dragón (cuentas verdes)</t>
  </si>
  <si>
    <t xml:space="preserve">Insumo</t>
  </si>
  <si>
    <t xml:space="preserve">https://tierramadre.app/p/446</t>
  </si>
  <si>
    <t xml:space="preserve">C-036</t>
  </si>
  <si>
    <t xml:space="preserve">3 cuentas esféricas verdes ($85.000 c/u). Antes "Balines". Proveedor asumido: Joyería Legado (confirmar).</t>
  </si>
  <si>
    <t xml:space="preserve">Gola - Murralla</t>
  </si>
  <si>
    <t xml:space="preserve">https://drive.google.com/uc?export=view&amp;id=1iLO9PA28dQRGUX2cegA_xw1FusQP5kX6</t>
  </si>
  <si>
    <t xml:space="preserve">https://tierramadre.app/product/446</t>
  </si>
  <si>
    <t xml:space="preserve">https://drive.google.com/drive/folders/14HGSwSx0SxJQBT5NSf22z37H-5MfoOZy</t>
  </si>
  <si>
    <t xml:space="preserve">2026-07-15-esferas-del-dragon-item-446</t>
  </si>
  <si>
    <t xml:space="preserve">Cadenas de baño en oro</t>
  </si>
  <si>
    <t xml:space="preserve">https://tierramadre.app/p/447</t>
  </si>
  <si>
    <t xml:space="preserve">C-037</t>
  </si>
  <si>
    <t xml:space="preserve">6 cadenas ($4.000 c/u). Proveedor asumido: Joyería Legado (confirmar).</t>
  </si>
  <si>
    <t xml:space="preserve">https://tierramadre.app/product/447</t>
  </si>
  <si>
    <t xml:space="preserve">https://drive.google.com/drive/folders/1ac5fCxGYSMwFJBR60uUs19A3nCarckCm</t>
  </si>
  <si>
    <t xml:space="preserve">2026-07-18-cadenas-de-bano-en-oro-item-447</t>
  </si>
  <si>
    <t xml:space="preserve">Topos Redondos (postes aretes)</t>
  </si>
  <si>
    <t xml:space="preserve">https://tierramadre.app/p/448</t>
  </si>
  <si>
    <t xml:space="preserve">C-038</t>
  </si>
  <si>
    <t xml:space="preserve">14 pares: 4mm×6, 3mm×6, 5mm×1, 2mm×1. 1 suelto 3mm usado en Perlita #260. Proveedor asumido: Joyería Legado (confirmar).</t>
  </si>
  <si>
    <t xml:space="preserve">https://tierramadre.app/product/448</t>
  </si>
  <si>
    <t xml:space="preserve">https://drive.google.com/drive/folders/1040k-uGeIkpTtK5I0r7edymQt1fjlFre</t>
  </si>
  <si>
    <t xml:space="preserve">2026-07-18-topos-redondos-postes-aretes-item-448</t>
  </si>
  <si>
    <t xml:space="preserve">Topos Planos (postes aretes)</t>
  </si>
  <si>
    <t xml:space="preserve">https://tierramadre.app/p/449</t>
  </si>
  <si>
    <t xml:space="preserve">C-065</t>
  </si>
  <si>
    <t xml:space="preserve">15 pares: 5mm×1, 4x4.5mm×7, 3.2mm×6, 2mm×1. 1 suelto 3.2mm usado en Luz del Firmamento #257. Proveedor asumido: Joyería Legado (confirmar).</t>
  </si>
  <si>
    <t xml:space="preserve">https://drive.google.com/uc?export=view&amp;id=1i0roti7TQsfaHxz6ir3FbJUfBd_pLE5D</t>
  </si>
  <si>
    <t xml:space="preserve">https://tierramadre.app/product/449</t>
  </si>
  <si>
    <t xml:space="preserve">https://drive.google.com/drive/folders/11vxXfeGZP6nSHxWf2I1yz77tm48wOvhZ</t>
  </si>
  <si>
    <t xml:space="preserve">2026-07-18-topos-planos-postes-aretes-item-449</t>
  </si>
  <si>
    <t xml:space="preserve">Pares Topos #3 (postes plata)</t>
  </si>
  <si>
    <t xml:space="preserve">https://tierramadre.app/p/450</t>
  </si>
  <si>
    <t xml:space="preserve">C-040</t>
  </si>
  <si>
    <t xml:space="preserve">20 pares ($25.000 c/u). 3 usados (Almas Gemelas #97, Dos Pequitas #77, Reflejos del Sol). Stock 17. Proveedor asumido: Joyería Legado (confirmar).</t>
  </si>
  <si>
    <t xml:space="preserve">https://tierramadre.app/product/450</t>
  </si>
  <si>
    <t xml:space="preserve">https://drive.google.com/drive/folders/1kBYzvXbEIpjlmoccGFxYd1GrVhxRuK3F</t>
  </si>
  <si>
    <t xml:space="preserve">2026-07-18-pares-topos-3-postes-plata-item-450</t>
  </si>
  <si>
    <t xml:space="preserve">Pares Topos #4 (postes plata 4.3mm)</t>
  </si>
  <si>
    <t xml:space="preserve">https://tierramadre.app/p/451</t>
  </si>
  <si>
    <t xml:space="preserve">C-041</t>
  </si>
  <si>
    <t xml:space="preserve">14 pares 4.3mm ($35.714 c/u). 3 usados (Ojos del Universo #76, Hadas del Bosque #89, Destellos Gemelos). Stock 11. Proveedor asumido: Joyería Legado (confirmar).</t>
  </si>
  <si>
    <t xml:space="preserve">https://tierramadre.app/product/451</t>
  </si>
  <si>
    <t xml:space="preserve">https://drive.google.com/drive/folders/1JEivYEcGzDHeCoAaBhyjQqcR396460lf</t>
  </si>
  <si>
    <t xml:space="preserve">2026-07-18-pares-topos-4-postes-plata-4-3mm-item-451</t>
  </si>
  <si>
    <t xml:space="preserve">Gemas Pedagógicas Laboratorio (Marketing)</t>
  </si>
  <si>
    <t xml:space="preserve">7 mm</t>
  </si>
  <si>
    <t xml:space="preserve">Marketing</t>
  </si>
  <si>
    <t xml:space="preserve">https://tierramadre.app/p/452</t>
  </si>
  <si>
    <t xml:space="preserve">https://tierramadre.app/product/452</t>
  </si>
  <si>
    <t xml:space="preserve">https://drive.google.com/drive/folders/1HFWel3SOijyHTgbV57E0xPvlel9ypFFn</t>
  </si>
  <si>
    <t xml:space="preserve">2026-07-18-gemas-pedagogicas-laboratorio-marketing-item-452</t>
  </si>
  <si>
    <t xml:space="preserve">Circones (Marketing)</t>
  </si>
  <si>
    <t xml:space="preserve">4 mm</t>
  </si>
  <si>
    <t xml:space="preserve">https://tierramadre.app/p/453</t>
  </si>
  <si>
    <t xml:space="preserve">https://tierramadre.app/product/453</t>
  </si>
  <si>
    <t xml:space="preserve">https://drive.google.com/drive/folders/1wysJc5Ft839Z8N5Qfl4_R1CaAqLcyQ34</t>
  </si>
  <si>
    <t xml:space="preserve">2026-07-18-circones-marketing-item-453</t>
  </si>
  <si>
    <t xml:space="preserve">Pares Topos #4 · 4.3mm</t>
  </si>
  <si>
    <t xml:space="preserve">https://tierramadre.app/p/454</t>
  </si>
  <si>
    <t xml:space="preserve">Subdivisión de "Pares Topos #4" (insumo-pares-topos-4). 4.3mm: 14 recibidos, 3 usados (Ojos del Universo #76, Hadas del Bosque #89, Destellos Gemelos), 11 en stock. Costo permanece en el padre.</t>
  </si>
  <si>
    <t xml:space="preserve">https://drive.google.com/uc?export=view&amp;id=1oMetakW_DQcMbMaYnB4hCuhgbLSgYEib</t>
  </si>
  <si>
    <t xml:space="preserve">https://tierramadre.app/product/454</t>
  </si>
  <si>
    <t xml:space="preserve">https://drive.google.com/drive/folders/1wdrc8Z3AJphUJcfmvx6GZWxeLiMIUAGU</t>
  </si>
  <si>
    <t xml:space="preserve">2026-07-15-modelo-item-454-chatones-de-mariposa-4-3-mm</t>
  </si>
  <si>
    <t xml:space="preserve">Calidad difiere: legacy=F1 vs modeloPrecios=Calidad</t>
  </si>
  <si>
    <t xml:space="preserve">Pares Topos #3 · 3.5mm</t>
  </si>
  <si>
    <t xml:space="preserve">https://tierramadre.app/p/455</t>
  </si>
  <si>
    <t xml:space="preserve">Subdivisión de "Pares Topos #3" (insumo-pares-topos-3). 3.5mm: 11 recibidos, 2 usados, 9 en stock. Costo permanece en el padre.</t>
  </si>
  <si>
    <t xml:space="preserve">https://tierramadre.app/product/455</t>
  </si>
  <si>
    <t xml:space="preserve">https://drive.google.com/drive/folders/1J8NifDK6Bou66Zor6M6W4GCgH9QB1lx0</t>
  </si>
  <si>
    <t xml:space="preserve">2026-07-18-pares-topos-3-3-5mm-item-455</t>
  </si>
  <si>
    <t xml:space="preserve">Pares Topos #3 · 3.4mm</t>
  </si>
  <si>
    <t xml:space="preserve">https://tierramadre.app/p/456</t>
  </si>
  <si>
    <t xml:space="preserve">Subdivisión de "Pares Topos #3" (insumo-pares-topos-3). 3.4mm: 7 recibidos, 7 en stock. Costo permanece en el padre.</t>
  </si>
  <si>
    <t xml:space="preserve">https://drive.google.com/uc?export=view&amp;id=1heeJf_5CAMxar2CbfNLi9B4TZHvEW_mZ</t>
  </si>
  <si>
    <t xml:space="preserve">https://tierramadre.app/product/456</t>
  </si>
  <si>
    <t xml:space="preserve">https://drive.google.com/drive/folders/1UeuK_MggbdkyN22lnBEfFec9O4IT5pAP</t>
  </si>
  <si>
    <t xml:space="preserve">2026-07-15-modelo-item-456-chatones-de-mariposa-3-4-mm</t>
  </si>
  <si>
    <t xml:space="preserve">Pares Topos #3 · 3.3mm</t>
  </si>
  <si>
    <t xml:space="preserve">https://tierramadre.app/p/457</t>
  </si>
  <si>
    <t xml:space="preserve">Subdivisión de "Pares Topos #3" (insumo-pares-topos-3). 3.3mm: 1 recibido, 1 en stock. Costo permanece en el padre.</t>
  </si>
  <si>
    <t xml:space="preserve">https://tierramadre.app/product/457</t>
  </si>
  <si>
    <t xml:space="preserve">https://drive.google.com/drive/folders/1AtohPWdLgEW3SDeyI05J-cIZqFPUFg5j</t>
  </si>
  <si>
    <t xml:space="preserve">2026-07-18-pares-topos-3-3-3mm-item-457</t>
  </si>
  <si>
    <t xml:space="preserve">Pares Topos #3 · 4mm</t>
  </si>
  <si>
    <t xml:space="preserve">https://tierramadre.app/p/458</t>
  </si>
  <si>
    <t xml:space="preserve">Subdivisión de "Pares Topos #3" (insumo-pares-topos-3). 4mm: 1 recibido, ya usado, 0 en stock. Costo permanece en el padre.</t>
  </si>
  <si>
    <t xml:space="preserve">https://drive.google.com/uc?export=view&amp;id=1mnkjw6zzCuRepVFgh2f6ojPFN0aQKmR8</t>
  </si>
  <si>
    <t xml:space="preserve">https://tierramadre.app/product/458</t>
  </si>
  <si>
    <t xml:space="preserve">https://drive.google.com/drive/folders/1wbLuwYgAV2yTEyPbvfE9NTI0VG_wdb5U</t>
  </si>
  <si>
    <t xml:space="preserve">2026-07-15-modelo-item-458-chatones-redondos-4mm</t>
  </si>
  <si>
    <t xml:space="preserve">Topos Redondos 4mm (par)</t>
  </si>
  <si>
    <t xml:space="preserve">https://tierramadre.app/p/459</t>
  </si>
  <si>
    <t xml:space="preserve">Subdivisión de "Topos Redondos" (insumo-topos-redondos). 4mm: 6 pares. Costo permanece en el padre.</t>
  </si>
  <si>
    <t xml:space="preserve">https://tierramadre.app/product/459</t>
  </si>
  <si>
    <t xml:space="preserve">https://drive.google.com/drive/folders/1sGMx43GiPuoXVFX1lKCdP85A9p-KJrLk</t>
  </si>
  <si>
    <t xml:space="preserve">2026-07-18-topos-redondos-4mm-par-item-459</t>
  </si>
  <si>
    <t xml:space="preserve">Topos Redondos 3mm (par)</t>
  </si>
  <si>
    <t xml:space="preserve">https://tierramadre.app/p/460</t>
  </si>
  <si>
    <t xml:space="preserve">Subdivisión de "Topos Redondos" (insumo-topos-redondos). 3mm: 6 pares. 1 poste suelto 3mm usado en Perlita #260. Costo permanece en el padre.</t>
  </si>
  <si>
    <t xml:space="preserve">https://drive.google.com/uc?export=view&amp;id=1R8Lpx7UjVcDq9Cv-VRPU42IWjLMJPUY-</t>
  </si>
  <si>
    <t xml:space="preserve">https://tierramadre.app/product/460</t>
  </si>
  <si>
    <t xml:space="preserve">https://drive.google.com/drive/folders/1RPiwy2d_la42uPW3PSrJax0dmU5-GN4g</t>
  </si>
  <si>
    <t xml:space="preserve">2026-07-15-modelo-item-460-chatones-redondos-3mm</t>
  </si>
  <si>
    <t xml:space="preserve">Topos Redondos 5mm (par)</t>
  </si>
  <si>
    <t xml:space="preserve">https://tierramadre.app/p/461</t>
  </si>
  <si>
    <t xml:space="preserve">Subdivisión de "Topos Redondos" (insumo-topos-redondos). 5mm: 1 par. Costo permanece en el padre.</t>
  </si>
  <si>
    <t xml:space="preserve">https://tierramadre.app/product/461</t>
  </si>
  <si>
    <t xml:space="preserve">https://drive.google.com/drive/folders/11JzTQXrUOA3XKMq7B_tGgTKpwjRuimui</t>
  </si>
  <si>
    <t xml:space="preserve">2026-07-18-topos-redondos-5mm-par-item-461</t>
  </si>
  <si>
    <t xml:space="preserve">Topos Redondos 2mm plata (par)</t>
  </si>
  <si>
    <t xml:space="preserve">https://tierramadre.app/p/462</t>
  </si>
  <si>
    <t xml:space="preserve">Subdivisión de "Topos Redondos" (insumo-topos-redondos). 2mm en plata: 1 par, 0.47 g. Costo permanece en el padre.</t>
  </si>
  <si>
    <t xml:space="preserve">https://tierramadre.app/product/462</t>
  </si>
  <si>
    <t xml:space="preserve">https://drive.google.com/drive/folders/1rQkGSF38z60bQgPDMd8MiFMgEXTgOYvg</t>
  </si>
  <si>
    <t xml:space="preserve">2026-07-18-topos-redondos-2mm-plata-par-item-462</t>
  </si>
  <si>
    <t xml:space="preserve">Topos Planos 5mm (par)</t>
  </si>
  <si>
    <t xml:space="preserve">https://tierramadre.app/p/463</t>
  </si>
  <si>
    <t xml:space="preserve">Subdivisión de "Topos Planos" (insumo-topos-planos). 5mm: 1 par. Costo permanece en el padre.</t>
  </si>
  <si>
    <t xml:space="preserve">https://drive.google.com/uc?export=view&amp;id=1YzY4phDQnHlTsTfRTwPJSGpDOnMUG__4</t>
  </si>
  <si>
    <t xml:space="preserve">https://tierramadre.app/product/463</t>
  </si>
  <si>
    <t xml:space="preserve">https://drive.google.com/drive/folders/1RynYAtaARmHiiNFxGOzK1JCbAXVi7aF-</t>
  </si>
  <si>
    <t xml:space="preserve">2026-07-15-modelo-item-463-chatones-planos-5mm</t>
  </si>
  <si>
    <t xml:space="preserve">Topos Planos 4×4.5mm (par)</t>
  </si>
  <si>
    <t xml:space="preserve">4 × 4.5 mm</t>
  </si>
  <si>
    <t xml:space="preserve">https://tierramadre.app/p/464</t>
  </si>
  <si>
    <t xml:space="preserve">Subdivisión de "Topos Planos" (insumo-topos-planos). 4×4.5mm: 7 pares. Costo permanece en el padre.</t>
  </si>
  <si>
    <t xml:space="preserve">https://drive.google.com/uc?export=view&amp;id=1X3vdzRTzvB5yQoLr72SNJoU6Y6PY489S</t>
  </si>
  <si>
    <t xml:space="preserve">https://tierramadre.app/product/464</t>
  </si>
  <si>
    <t xml:space="preserve">https://drive.google.com/drive/folders/1_78Ut9VGcVXLJ1pbnTrtuXby3GgbyAmf</t>
  </si>
  <si>
    <t xml:space="preserve">2026-07-15-modelo-item-464-chatones-planos-4-x-4-5mm</t>
  </si>
  <si>
    <t xml:space="preserve">Calidad difiere: legacy=F1 vs modeloPrecios=Calidad · medida extraída de nota (verificar)</t>
  </si>
  <si>
    <t xml:space="preserve">Topos Planos 3.2mm (par)</t>
  </si>
  <si>
    <t xml:space="preserve">https://tierramadre.app/p/465</t>
  </si>
  <si>
    <t xml:space="preserve">Subdivisión de "Topos Planos" (insumo-topos-planos). 3.2mm: 6 pares. 1 poste suelto 3.2mm usado en Luz del Firmamento #257. Costo permanece en el padre.</t>
  </si>
  <si>
    <t xml:space="preserve">https://drive.google.com/uc?export=view&amp;id=1vrBlxb5JgBGI1FRADL8UeUwpBuALYrfc</t>
  </si>
  <si>
    <t xml:space="preserve">https://tierramadre.app/product/465</t>
  </si>
  <si>
    <t xml:space="preserve">https://drive.google.com/drive/folders/19v3sa2a8sKdvhs4udSeitCa0tyGd9WRH</t>
  </si>
  <si>
    <t xml:space="preserve">2026-07-15-modelo-item-465-chatones-planos-3-2-mm</t>
  </si>
  <si>
    <t xml:space="preserve">Topos Planos 2mm plata (par)</t>
  </si>
  <si>
    <t xml:space="preserve">https://tierramadre.app/p/466</t>
  </si>
  <si>
    <t xml:space="preserve">Subdivisión de "Topos Planos" (insumo-topos-planos). 2mm en plata: 1 par, 0.37 g. Costo permanece en el padre.</t>
  </si>
  <si>
    <t xml:space="preserve">https://drive.google.com/uc?export=view&amp;id=1B7CG_4x0i0tS1sJkaQqYIbFVeATzqzLX</t>
  </si>
  <si>
    <t xml:space="preserve">https://tierramadre.app/product/466</t>
  </si>
  <si>
    <t xml:space="preserve">https://drive.google.com/drive/folders/1-juMykMU4wBRaz74wa9FAWa1ewz70Ja0</t>
  </si>
  <si>
    <t xml:space="preserve">2026-07-15-modelo-item-466-chatones-planos-2mm</t>
  </si>
  <si>
    <t xml:space="preserve">Guardianas Gemelas — Piedra 1</t>
  </si>
  <si>
    <t xml:space="preserve">6.1 × 3.3 mm</t>
  </si>
  <si>
    <t xml:space="preserve">https://tierramadre.app/p/467</t>
  </si>
  <si>
    <t xml:space="preserve">Par Guardianas Gemelas (ex Igualdad Dijes, #363). Cono 2.1 mm. Calidad a confirmar (dictado Comercial Superior; #363 tenía Comercial Súper Fina).</t>
  </si>
  <si>
    <t xml:space="preserve">C-042-G1</t>
  </si>
  <si>
    <t xml:space="preserve">https://tierramadre.app/product/467</t>
  </si>
  <si>
    <t xml:space="preserve">https://drive.google.com/drive/folders/1ACFRjsRp-HEgC71Xn9cjKt-NfLfPXmPc</t>
  </si>
  <si>
    <t xml:space="preserve">2026-07-18-guardianas-gemelas-piedra-1-item-467</t>
  </si>
  <si>
    <t xml:space="preserve">Guardianas Gemelas — Piedra 2</t>
  </si>
  <si>
    <t xml:space="preserve">5.5 × 3.6 mm</t>
  </si>
  <si>
    <t xml:space="preserve">https://tierramadre.app/p/468</t>
  </si>
  <si>
    <t xml:space="preserve">Par Guardianas Gemelas (ex Igualdad Dijes, #363). Cono 2.3 mm.</t>
  </si>
  <si>
    <t xml:space="preserve">https://tierramadre.app/product/468</t>
  </si>
  <si>
    <t xml:space="preserve">https://drive.google.com/drive/folders/1NghwcgSrkuVFQPUBTLYU-ZNjqBmNBFZN</t>
  </si>
  <si>
    <t xml:space="preserve">2026-07-18-guardianas-gemelas-piedra-2-item-468</t>
  </si>
  <si>
    <t xml:space="preserve">Mellizas del Alba — Piedra 3</t>
  </si>
  <si>
    <t xml:space="preserve">5.3 × 3.4 mm</t>
  </si>
  <si>
    <t xml:space="preserve">https://tierramadre.app/p/469</t>
  </si>
  <si>
    <t xml:space="preserve">Par Mellizas del Alba (ex Igualdad Topitos, #363). Cono 2.5 mm.</t>
  </si>
  <si>
    <t xml:space="preserve">C-042-G2</t>
  </si>
  <si>
    <t xml:space="preserve">https://tierramadre.app/product/469</t>
  </si>
  <si>
    <t xml:space="preserve">https://drive.google.com/drive/folders/1nT04ffIjAj0dFPLd8U2BvGW5BzgZjxJw</t>
  </si>
  <si>
    <t xml:space="preserve">2026-07-18-mellizas-del-alba-piedra-3-item-469</t>
  </si>
  <si>
    <t xml:space="preserve">Mellizas del Alba — Piedra 4</t>
  </si>
  <si>
    <t xml:space="preserve">5.3 × 3.7 mm</t>
  </si>
  <si>
    <t xml:space="preserve">https://tierramadre.app/p/470</t>
  </si>
  <si>
    <t xml:space="preserve">Par Mellizas del Alba (ex Igualdad Topitos, #363). Cono 2.3 mm.</t>
  </si>
  <si>
    <t xml:space="preserve">https://tierramadre.app/product/470</t>
  </si>
  <si>
    <t xml:space="preserve">https://drive.google.com/drive/folders/1PNaBl89hAt3v3qAaYlVtaCDo7D2JA3eV</t>
  </si>
  <si>
    <t xml:space="preserve">2026-07-18-mellizas-del-alba-piedra-4-item-470</t>
  </si>
  <si>
    <t xml:space="preserve">Guardianas Gemelas</t>
  </si>
  <si>
    <t xml:space="preserve">6.1 × 3.6 mm</t>
  </si>
  <si>
    <t xml:space="preserve">https://tierramadre.app/p/471</t>
  </si>
  <si>
    <t xml:space="preserve">C-042</t>
  </si>
  <si>
    <t xml:space="preserve">Par para dijes (ex 'Igualdad Dijes', #363). 2 gemas facetadas rectangulares: 6.1×3.3mm/0.36ct + 5.5×3.6mm/0.38ct. Un solo QR (par). Calidad a confirmar (dictado Comercial Superior; #363 tenía Comercial Súper Fina).</t>
  </si>
  <si>
    <t xml:space="preserve">https://drive.google.com/uc?export=view&amp;id=1o1XPKnrPC16BJA6cp3nhDiSzYYs3gUKN</t>
  </si>
  <si>
    <t xml:space="preserve">https://tierramadre.app/product/471</t>
  </si>
  <si>
    <t xml:space="preserve">https://drive.google.com/drive/folders/1eTnzdUgvQ5t6fiXFLRDOivkaGV8g7OJo</t>
  </si>
  <si>
    <t xml:space="preserve">2026-07-15-guardianas-gemelas-item-471</t>
  </si>
  <si>
    <t xml:space="preserve">Mellizas del Alba</t>
  </si>
  <si>
    <t xml:space="preserve">https://tierramadre.app/p/472</t>
  </si>
  <si>
    <t xml:space="preserve">Par para topitos (ex 'Igualdad Topitos', #363). 2 gemas: 5.3×3.4mm/0.37ct + 5.3×3.7mm/0.37ct. Un solo QR (par).</t>
  </si>
  <si>
    <t xml:space="preserve">https://drive.google.com/uc?export=view&amp;id=15vDK0ki5YYVhthmMfmsrGNxnKsuKuQIN</t>
  </si>
  <si>
    <t xml:space="preserve">https://tierramadre.app/product/472</t>
  </si>
  <si>
    <t xml:space="preserve">https://drive.google.com/drive/folders/1N9doybpGP3h4GOpTcO8sCkWqpECqbC5f</t>
  </si>
  <si>
    <t xml:space="preserve">2026-07-15-mellizas-del-alba-item-472 · 2026-07-15-modelo-item-472-mellizas-del-alba-i-y-ii</t>
  </si>
  <si>
    <t xml:space="preserve">Asteroides Verdes III</t>
  </si>
  <si>
    <t xml:space="preserve">https://tierramadre.app/p/476</t>
  </si>
  <si>
    <t xml:space="preserve">C-061</t>
  </si>
  <si>
    <t xml:space="preserve">https://tierramadre.app/product/476</t>
  </si>
  <si>
    <t xml:space="preserve">https://drive.google.com/drive/folders/1IzaKTGfXy40ifp3CT7pDI21565zUBJ6g</t>
  </si>
  <si>
    <t xml:space="preserve">2026-07-14-asteroides-verdes-iii-item-476</t>
  </si>
  <si>
    <t xml:space="preserve">Chatones Redondos 5mm</t>
  </si>
  <si>
    <t xml:space="preserve">https://tierramadre.app/p/477</t>
  </si>
  <si>
    <t xml:space="preserve">https://drive.google.com/uc?export=view&amp;id=1fW37MWYzfO1cNjaWt4hSfbigh-3iO8ty</t>
  </si>
  <si>
    <t xml:space="preserve">https://tierramadre.app/product/477</t>
  </si>
  <si>
    <t xml:space="preserve">https://drive.google.com/drive/folders/1XVM_MKuZnOEZthAK8HrOUHazTZMoSYB2</t>
  </si>
  <si>
    <t xml:space="preserve">2026-07-14-chatones-redondos-item-477</t>
  </si>
  <si>
    <t xml:space="preserve">Topito Plano Solitario 5mm</t>
  </si>
  <si>
    <t xml:space="preserve">Verde</t>
  </si>
  <si>
    <t xml:space="preserve">5.0 × 4.7 mm</t>
  </si>
  <si>
    <t xml:space="preserve">https://tierramadre.app/p/478</t>
  </si>
  <si>
    <t xml:space="preserve">C-049</t>
  </si>
  <si>
    <t xml:space="preserve">https://drive.google.com/uc?export=view&amp;id=1cu5p5eL_iI3nV4asM81P65yaanw8TKfp</t>
  </si>
  <si>
    <t xml:space="preserve">https://tierramadre.app/product/478</t>
  </si>
  <si>
    <t xml:space="preserve">https://drive.google.com/drive/folders/1nTqDgNGTL9HvZRc8S2oc5M5sSKU6r4nX</t>
  </si>
  <si>
    <t xml:space="preserve">2026-07-13-item-478</t>
  </si>
  <si>
    <t xml:space="preserve">Chatones de Mariposa 4 mm</t>
  </si>
  <si>
    <t xml:space="preserve">https://tierramadre.app/p/481</t>
  </si>
  <si>
    <t xml:space="preserve">https://drive.google.com/uc?export=view&amp;id=1MEZzAwqBwIoJj-FEMtXfFlmK2WpGcSez</t>
  </si>
  <si>
    <t xml:space="preserve">https://tierramadre.app/product/481</t>
  </si>
  <si>
    <t xml:space="preserve">https://drive.google.com/drive/folders/19rZZTGnQwYxoiWMu8vqj11ERqLkSVviC</t>
  </si>
  <si>
    <t xml:space="preserve">2026-07-14-chatones-mariposa-item-481</t>
  </si>
  <si>
    <t xml:space="preserve">Destino</t>
  </si>
  <si>
    <t xml:space="preserve">NO OIL</t>
  </si>
  <si>
    <t xml:space="preserve">https://tierramadre.app/p/482</t>
  </si>
  <si>
    <t xml:space="preserve">C-069</t>
  </si>
  <si>
    <t xml:space="preserve">https://tierramadre.app/product/482</t>
  </si>
  <si>
    <t xml:space="preserve">https://drive.google.com/drive/folders/1vcv_TIDQUKwrxh1YzaBFeuYZQVlko2yJ</t>
  </si>
  <si>
    <t xml:space="preserve">2026-07-13-destino-item-482</t>
  </si>
  <si>
    <t xml:space="preserve">Gratitud</t>
  </si>
  <si>
    <t xml:space="preserve">https://tierramadre.app/p/483</t>
  </si>
  <si>
    <t xml:space="preserve">https://tierramadre.app/product/483</t>
  </si>
  <si>
    <t xml:space="preserve">https://drive.google.com/drive/folders/1Lx8WeYONHQOpmSrm_6JUZgU_IxOvN3Yb</t>
  </si>
  <si>
    <t xml:space="preserve">2026-07-13-gratitud-item-483</t>
  </si>
  <si>
    <t xml:space="preserve">Magia</t>
  </si>
  <si>
    <t xml:space="preserve">https://tierramadre.app/p/484</t>
  </si>
  <si>
    <t xml:space="preserve">https://tierramadre.app/product/484</t>
  </si>
  <si>
    <t xml:space="preserve">https://drive.google.com/drive/folders/1BMaMPN5I6pJg___fQFdwnp0xyu41m85O</t>
  </si>
  <si>
    <t xml:space="preserve">2026-07-13-magia-item-484</t>
  </si>
  <si>
    <t xml:space="preserve">https://tierramadre.app/p/485</t>
  </si>
  <si>
    <t xml:space="preserve">https://tierramadre.app/product/485</t>
  </si>
  <si>
    <t xml:space="preserve">https://drive.google.com/drive/folders/1cC32687LqhXY3xhrLlj2eFLzvpzh5Qah</t>
  </si>
  <si>
    <t xml:space="preserve">2026-07-15-modelo-item-485-2026-03-03</t>
  </si>
  <si>
    <t xml:space="preserve">ModeloPrecios</t>
  </si>
  <si>
    <t xml:space="preserve">https://tierramadre.app/p/486</t>
  </si>
  <si>
    <t xml:space="preserve">https://tierramadre.app/product/486</t>
  </si>
  <si>
    <t xml:space="preserve">https://drive.google.com/drive/folders/1yn3jQp2xHDW3sKY9liCOnE7otMnat76M</t>
  </si>
  <si>
    <t xml:space="preserve">2026-07-13-item-486</t>
  </si>
  <si>
    <t xml:space="preserve">https://tierramadre.app/p/487</t>
  </si>
  <si>
    <t xml:space="preserve">https://tierramadre.app/product/487</t>
  </si>
  <si>
    <t xml:space="preserve">https://drive.google.com/drive/folders/1CjqO7YNUu0mV19JFdM-CGYb3z7ws2kYt</t>
  </si>
  <si>
    <t xml:space="preserve">2026-07-13-item-487</t>
  </si>
  <si>
    <t xml:space="preserve">Semi Cuadrada</t>
  </si>
  <si>
    <t xml:space="preserve">https://tierramadre.app/p/490</t>
  </si>
  <si>
    <t xml:space="preserve">https://tierramadre.app/product/490</t>
  </si>
  <si>
    <t xml:space="preserve">https://drive.google.com/drive/folders/100X4CHOAf-WmjXd3jW9oiM3n7woNvVVd</t>
  </si>
  <si>
    <t xml:space="preserve">2026-07-13-item-490</t>
  </si>
  <si>
    <t xml:space="preserve">https://tierramadre.app/p/491</t>
  </si>
  <si>
    <t xml:space="preserve">https://tierramadre.app/product/491</t>
  </si>
  <si>
    <t xml:space="preserve">https://drive.google.com/drive/folders/1-L5S-QWzQXKQtX5LCjBdMbgFkug23bdo</t>
  </si>
  <si>
    <t xml:space="preserve">2026-07-13-item-491</t>
  </si>
  <si>
    <t xml:space="preserve">https://tierramadre.app/p/492</t>
  </si>
  <si>
    <t xml:space="preserve">https://tierramadre.app/product/492</t>
  </si>
  <si>
    <t xml:space="preserve">https://drive.google.com/drive/folders/1HXegdGka2gSweFak_8sf3C1hQKxhl30f</t>
  </si>
  <si>
    <t xml:space="preserve">2026-07-13-item-492</t>
  </si>
  <si>
    <t xml:space="preserve">Anillos Joyero Cali 4 de plata y 1 de oro</t>
  </si>
  <si>
    <t xml:space="preserve">https://tierramadre.app/p/495</t>
  </si>
  <si>
    <t xml:space="preserve">C-054</t>
  </si>
  <si>
    <t xml:space="preserve">https://tierramadre.app/product/495</t>
  </si>
  <si>
    <t xml:space="preserve">https://drive.google.com/drive/folders/18ZA2wZBEEud1apaQyc7PIKQ_c5bZUPBf</t>
  </si>
  <si>
    <t xml:space="preserve">2026-07-13-item-495</t>
  </si>
  <si>
    <t xml:space="preserve">https://tierramadre.app/p/496</t>
  </si>
  <si>
    <t xml:space="preserve">C-068</t>
  </si>
  <si>
    <t xml:space="preserve">https://tierramadre.app/product/496</t>
  </si>
  <si>
    <t xml:space="preserve">https://drive.google.com/drive/folders/17JxIly083xkxKFZvD3UGpKFz8XZ3Jj2S</t>
  </si>
  <si>
    <t xml:space="preserve">2026-07-13-c035-item-496</t>
  </si>
  <si>
    <t xml:space="preserve">https://tierramadre.app/p/497</t>
  </si>
  <si>
    <t xml:space="preserve">https://tierramadre.app/product/497</t>
  </si>
  <si>
    <t xml:space="preserve">https://drive.google.com/drive/folders/10o4V56NfrgQ5RIpsA5TdeMaO851pj9ed</t>
  </si>
  <si>
    <t xml:space="preserve">2026-07-13-c035-item-497</t>
  </si>
  <si>
    <t xml:space="preserve">4.5 × 3.0 mm</t>
  </si>
  <si>
    <t xml:space="preserve">https://tierramadre.app/p/498</t>
  </si>
  <si>
    <t xml:space="preserve">https://tierramadre.app/product/498</t>
  </si>
  <si>
    <t xml:space="preserve">https://drive.google.com/drive/folders/1KEvc0DmFKEu-W5U1XnMxptLt-oOJUZlB</t>
  </si>
  <si>
    <t xml:space="preserve">2026-07-13-c035-item-498</t>
  </si>
  <si>
    <t xml:space="preserve">Variada</t>
  </si>
  <si>
    <t xml:space="preserve">https://tierramadre.app/p/499</t>
  </si>
  <si>
    <t xml:space="preserve">https://tierramadre.app/product/499</t>
  </si>
  <si>
    <t xml:space="preserve">https://drive.google.com/drive/folders/1ca0WQ4gZY_AodN82Pr0mLxrFx5-XWPi7</t>
  </si>
  <si>
    <t xml:space="preserve">2026-07-13-c035-item-499</t>
  </si>
  <si>
    <t xml:space="preserve">https://tierramadre.app/p/500</t>
  </si>
  <si>
    <t xml:space="preserve">https://tierramadre.app/product/500</t>
  </si>
  <si>
    <t xml:space="preserve">https://drive.google.com/drive/folders/1R3IhiWmcvx899Ww2V0cERBHYOTwSTMnx</t>
  </si>
  <si>
    <t xml:space="preserve">2026-07-13-c035-item-500</t>
  </si>
  <si>
    <t xml:space="preserve">https://tierramadre.app/p/501</t>
  </si>
  <si>
    <t xml:space="preserve">https://tierramadre.app/product/501</t>
  </si>
  <si>
    <t xml:space="preserve">https://drive.google.com/drive/folders/1Lrpqe1Gs6JR12Z7KvoJQnFVf1ywMDN3G</t>
  </si>
  <si>
    <t xml:space="preserve">2026-07-13-c035-item-501</t>
  </si>
  <si>
    <t xml:space="preserve">Baguette (corte C-068, pos. A)</t>
  </si>
  <si>
    <t xml:space="preserve">https://tierramadre.app/p/502</t>
  </si>
  <si>
    <t xml:space="preserve">https://tierramadre.app/product/502</t>
  </si>
  <si>
    <t xml:space="preserve">https://drive.google.com/drive/folders/105NMy74aA-As1FGse0GaPKblNHGl3Uza</t>
  </si>
  <si>
    <t xml:space="preserve">2026-07-13-c035-item-502</t>
  </si>
  <si>
    <t xml:space="preserve">3.1 × 5.1 mm</t>
  </si>
  <si>
    <t xml:space="preserve">https://tierramadre.app/p/503</t>
  </si>
  <si>
    <t xml:space="preserve">https://tierramadre.app/product/503</t>
  </si>
  <si>
    <t xml:space="preserve">https://drive.google.com/drive/folders/1KA6pSK1MoQ3wWAaB5NSLjSDrDQ4CjowQ</t>
  </si>
  <si>
    <t xml:space="preserve">2026-07-13-c035-item-503</t>
  </si>
  <si>
    <t xml:space="preserve">5.1 × 3.2 mm</t>
  </si>
  <si>
    <t xml:space="preserve">https://tierramadre.app/p/504</t>
  </si>
  <si>
    <t xml:space="preserve">https://tierramadre.app/product/504</t>
  </si>
  <si>
    <t xml:space="preserve">https://drive.google.com/drive/folders/1K361tNGPA4w1qXsCixNQlByFm7UXLI1k</t>
  </si>
  <si>
    <t xml:space="preserve">2026-07-13-c035-item-504</t>
  </si>
  <si>
    <t xml:space="preserve">3.7 × 3.0 mm</t>
  </si>
  <si>
    <t xml:space="preserve">https://tierramadre.app/p/505</t>
  </si>
  <si>
    <t xml:space="preserve">https://tierramadre.app/product/505</t>
  </si>
  <si>
    <t xml:space="preserve">https://drive.google.com/drive/folders/1euRCYKsjgcBsc2pw7AxHS6jM2OxIBgUD</t>
  </si>
  <si>
    <t xml:space="preserve">2026-07-13-c035-item-505</t>
  </si>
  <si>
    <t xml:space="preserve">3.7 × 3.1 mm</t>
  </si>
  <si>
    <t xml:space="preserve">https://tierramadre.app/p/506</t>
  </si>
  <si>
    <t xml:space="preserve">https://tierramadre.app/product/506</t>
  </si>
  <si>
    <t xml:space="preserve">https://drive.google.com/drive/folders/1Fe0XhiWeBILBLxJd6Wha8aYizjWMrXJz</t>
  </si>
  <si>
    <t xml:space="preserve">2026-07-13-c035-item-506</t>
  </si>
  <si>
    <t xml:space="preserve">lote de gemas</t>
  </si>
  <si>
    <t xml:space="preserve">https://tierramadre.app/p/507</t>
  </si>
  <si>
    <t xml:space="preserve">C-067</t>
  </si>
  <si>
    <t xml:space="preserve">Cali</t>
  </si>
  <si>
    <t xml:space="preserve">https://tierramadre.app/product/507</t>
  </si>
  <si>
    <t xml:space="preserve">https://drive.google.com/drive/folders/15QWi5dPlGH1o7xqfB5ajZZE62pu2zLb3</t>
  </si>
  <si>
    <t xml:space="preserve">2026-07-13-innombradas-c034-item-507</t>
  </si>
  <si>
    <t xml:space="preserve">https://tierramadre.app/p/508</t>
  </si>
  <si>
    <t xml:space="preserve">https://tierramadre.app/product/508</t>
  </si>
  <si>
    <t xml:space="preserve">https://drive.google.com/drive/folders/1J9t6ZUsQq5TUO4YSOpMBQEBRu8W84WmQ</t>
  </si>
  <si>
    <t xml:space="preserve">2026-07-13-innombradas-c034-item-508</t>
  </si>
  <si>
    <t xml:space="preserve">https://tierramadre.app/p/509</t>
  </si>
  <si>
    <t xml:space="preserve">https://tierramadre.app/product/509</t>
  </si>
  <si>
    <t xml:space="preserve">https://drive.google.com/drive/folders/1nn7xMWAdqmKYNhPd8X5emVjnm-3e1LaR</t>
  </si>
  <si>
    <t xml:space="preserve">2026-07-13-innombradas-c034-item-509</t>
  </si>
  <si>
    <t xml:space="preserve">Estrella Solar</t>
  </si>
  <si>
    <t xml:space="preserve">Verde claro</t>
  </si>
  <si>
    <t xml:space="preserve">https://tierramadre.app/p/511</t>
  </si>
  <si>
    <t xml:space="preserve">https://tierramadre.app/product/511</t>
  </si>
  <si>
    <t xml:space="preserve">https://drive.google.com/drive/folders/1EagYs5PPvX5zn5agy8mjApXmXew1rPR9</t>
  </si>
  <si>
    <t xml:space="preserve">2026-07-13-innombradas-c034-item-511</t>
  </si>
  <si>
    <t xml:space="preserve">Ovalada</t>
  </si>
  <si>
    <t xml:space="preserve">https://tierramadre.app/p/512</t>
  </si>
  <si>
    <t xml:space="preserve">https://tierramadre.app/product/512</t>
  </si>
  <si>
    <t xml:space="preserve">https://drive.google.com/drive/folders/1hwuav--t6ryc1-lzQnOyfZJUaQBcz60u</t>
  </si>
  <si>
    <t xml:space="preserve">2026-07-13-innombradas-c034-item-512</t>
  </si>
  <si>
    <t xml:space="preserve">https://tierramadre.app/p/513</t>
  </si>
  <si>
    <t xml:space="preserve">https://tierramadre.app/product/513</t>
  </si>
  <si>
    <t xml:space="preserve">https://drive.google.com/drive/folders/1Y8u4ybZOMK7Rnp1_-BqARuhp2clauOSZ</t>
  </si>
  <si>
    <t xml:space="preserve">2026-07-13-innombradas-c034-item-513</t>
  </si>
  <si>
    <t xml:space="preserve">Lágrima / Pera</t>
  </si>
  <si>
    <t xml:space="preserve">https://tierramadre.app/p/514</t>
  </si>
  <si>
    <t xml:space="preserve">https://tierramadre.app/product/514</t>
  </si>
  <si>
    <t xml:space="preserve">https://drive.google.com/drive/folders/1tra2cEZBaQmVJBluO64Q3TzFGI7qM0Fp</t>
  </si>
  <si>
    <t xml:space="preserve">2026-07-13-innombradas-c034-item-514</t>
  </si>
  <si>
    <t xml:space="preserve">https://tierramadre.app/p/515</t>
  </si>
  <si>
    <t xml:space="preserve">https://tierramadre.app/product/515</t>
  </si>
  <si>
    <t xml:space="preserve">https://drive.google.com/drive/folders/1VfYSs9Hpxr-N8aOPcCqxfbrG0H1yX1NM</t>
  </si>
  <si>
    <t xml:space="preserve">2026-07-13-innombradas-c034-item-515</t>
  </si>
  <si>
    <t xml:space="preserve">Esmeralda (corte C-067)</t>
  </si>
  <si>
    <t xml:space="preserve">https://tierramadre.app/p/516</t>
  </si>
  <si>
    <t xml:space="preserve">https://tierramadre.app/product/516</t>
  </si>
  <si>
    <t xml:space="preserve">https://drive.google.com/drive/folders/1TMwXd4q-7Z9kLeRumPeVB4XUeDZaowlS</t>
  </si>
  <si>
    <t xml:space="preserve">2026-07-13-innombradas-c034-item-516</t>
  </si>
  <si>
    <t xml:space="preserve">https://tierramadre.app/p/517</t>
  </si>
  <si>
    <t xml:space="preserve">https://tierramadre.app/product/517</t>
  </si>
  <si>
    <t xml:space="preserve">https://drive.google.com/drive/folders/1TgVlDaII98zfOMy3kUMekez8IphorqXL</t>
  </si>
  <si>
    <t xml:space="preserve">2026-07-13-innombradas-c034-item-517</t>
  </si>
  <si>
    <t xml:space="preserve">https://tierramadre.app/p/518</t>
  </si>
  <si>
    <t xml:space="preserve">https://tierramadre.app/product/518</t>
  </si>
  <si>
    <t xml:space="preserve">https://drive.google.com/drive/folders/1K-Vmrn_USSs1LESXrKQ4zkkZK2acKfZ9</t>
  </si>
  <si>
    <t xml:space="preserve">2026-07-13-innombradas-c034-item-518</t>
  </si>
  <si>
    <t xml:space="preserve">medida extraída de nota (verificar)</t>
  </si>
  <si>
    <t xml:space="preserve">https://tierramadre.app/p/519</t>
  </si>
  <si>
    <t xml:space="preserve">https://tierramadre.app/product/519</t>
  </si>
  <si>
    <t xml:space="preserve">https://drive.google.com/drive/folders/1an9LC-U81NYDLgAwMH6duf73TkZQSlsv</t>
  </si>
  <si>
    <t xml:space="preserve">2026-07-13-innombradas-c034-item-519</t>
  </si>
  <si>
    <t xml:space="preserve">Chatones de Mariposa 3,5mm</t>
  </si>
  <si>
    <t xml:space="preserve">https://tierramadre.app/p/520</t>
  </si>
  <si>
    <t xml:space="preserve">https://tierramadre.app/product/520</t>
  </si>
  <si>
    <t xml:space="preserve">https://drive.google.com/drive/folders/1OLOvk7wHEIUroKcQSED3rwoTJt6fTG7i</t>
  </si>
  <si>
    <t xml:space="preserve">2026-07-15-modelo-item-520-chatones-de-mariposa-3-5mm</t>
  </si>
  <si>
    <t xml:space="preserve">Chatones Redondos 2mm</t>
  </si>
  <si>
    <t xml:space="preserve">https://tierramadre.app/p/521</t>
  </si>
  <si>
    <t xml:space="preserve">https://drive.google.com/uc?export=view&amp;id=1mVLncaW3pSFW4OrGNCdG3dj6qtVoC8y7</t>
  </si>
  <si>
    <t xml:space="preserve">https://tierramadre.app/product/521</t>
  </si>
  <si>
    <t xml:space="preserve">https://drive.google.com/drive/folders/1mSpHLQcNeJRQRaFqDv6jaxgkLl1ZZku0</t>
  </si>
  <si>
    <t xml:space="preserve">2026-07-14-chatones-redondos-item-521</t>
  </si>
  <si>
    <t xml:space="preserve">Cuarzo Cristal Maestro (20 pcs)</t>
  </si>
  <si>
    <t xml:space="preserve">https://tierramadre.app/p/522</t>
  </si>
  <si>
    <t xml:space="preserve">C-076</t>
  </si>
  <si>
    <t xml:space="preserve">https://drive.google.com/uc?export=view&amp;id=1abbR6yAVZAR_JvuE74-wQifmtSwUgT1K</t>
  </si>
  <si>
    <t xml:space="preserve">https://tierramadre.app/product/522</t>
  </si>
  <si>
    <t xml:space="preserve">https://drive.google.com/drive/folders/1yMJjX1zhO6-_FKArFxQmqGiIOuXaDX6A</t>
  </si>
  <si>
    <t xml:space="preserve">2026-07-14-cuarzo-cristal-maestro-item-522</t>
  </si>
  <si>
    <t xml:space="preserve">Cuarzo Cristal Maestro (10 pcs)</t>
  </si>
  <si>
    <t xml:space="preserve">https://tierramadre.app/p/523</t>
  </si>
  <si>
    <t xml:space="preserve">https://tierramadre.app/product/523</t>
  </si>
  <si>
    <t xml:space="preserve">2026-07-14-cuarzo-cristal-maestro-item-523</t>
  </si>
  <si>
    <t xml:space="preserve">Chatones con mariposa</t>
  </si>
  <si>
    <t xml:space="preserve">https://tierramadre.app/p/524</t>
  </si>
  <si>
    <t xml:space="preserve">https://drive.google.com/uc?export=view&amp;id=1N7TBDCztiZDQlLonlJSWGjn92r8yMdCq</t>
  </si>
  <si>
    <t xml:space="preserve">https://tierramadre.app/product/524</t>
  </si>
  <si>
    <t xml:space="preserve">https://drive.google.com/drive/folders/13iU9CJ35sJUtS_ygqogxx_5LM5_M1Ot6</t>
  </si>
  <si>
    <t xml:space="preserve">2026-07-14-chatones-mariposa-item-524</t>
  </si>
  <si>
    <t xml:space="preserve">providerNombre</t>
  </si>
  <si>
    <t xml:space="preserve">fechaRecepcion</t>
  </si>
  <si>
    <t xml:space="preserve">pesoTotalQuilates</t>
  </si>
  <si>
    <t xml:space="preserve">costoTotalCOP</t>
  </si>
  <si>
    <t xml:space="preserve">unidadesDeclaradas</t>
  </si>
  <si>
    <t xml:space="preserve">formaPago</t>
  </si>
  <si>
    <t xml:space="preserve">metodoContado</t>
  </si>
  <si>
    <t xml:space="preserve">fechaVencimiento</t>
  </si>
  <si>
    <t xml:space="preserve">numeroCuotas</t>
  </si>
  <si>
    <t xml:space="preserve">numeroFactura</t>
  </si>
  <si>
    <t xml:space="preserve">urlFactura</t>
  </si>
  <si>
    <t xml:space="preserve">notas</t>
  </si>
  <si>
    <t xml:space="preserve">estado</t>
  </si>
  <si>
    <t xml:space="preserve">renombreLote</t>
  </si>
  <si>
    <t xml:space="preserve">tratamiento</t>
  </si>
  <si>
    <t xml:space="preserve">mina</t>
  </si>
  <si>
    <t xml:space="preserve">sede</t>
  </si>
  <si>
    <t xml:space="preserve">operadorNombre</t>
  </si>
  <si>
    <t xml:space="preserve">operadorRol</t>
  </si>
  <si>
    <t xml:space="preserve">mostrarComoLote</t>
  </si>
  <si>
    <t xml:space="preserve">B-001·anulado</t>
  </si>
  <si>
    <t xml:space="preserve">Edwin Mauricio Ruiz</t>
  </si>
  <si>
    <t xml:space="preserve">2026-05-26 00:00:00</t>
  </si>
  <si>
    <t xml:space="preserve">contado</t>
  </si>
  <si>
    <t xml:space="preserve">transferencia</t>
  </si>
  <si>
    <t xml:space="preserve">cancelado</t>
  </si>
  <si>
    <t xml:space="preserve">B</t>
  </si>
  <si>
    <t xml:space="preserve">Kevin Pineda Pérez</t>
  </si>
  <si>
    <t xml:space="preserve">captura</t>
  </si>
  <si>
    <t xml:space="preserve">C-001</t>
  </si>
  <si>
    <t xml:space="preserve">2026-05-25 00:00:00</t>
  </si>
  <si>
    <t xml:space="preserve">Perfecto para topitos  ,buen tono , buen brillo , 7,3ct calibrados</t>
  </si>
  <si>
    <t xml:space="preserve">abierto</t>
  </si>
  <si>
    <t xml:space="preserve">credito</t>
  </si>
  <si>
    <t xml:space="preserve">2026-08-31 00:00:00</t>
  </si>
  <si>
    <t xml:space="preserve">N/A</t>
  </si>
  <si>
    <t xml:space="preserve">Exoticas</t>
  </si>
  <si>
    <t xml:space="preserve">publicado</t>
  </si>
  <si>
    <t xml:space="preserve">Comprado 15 mayo del 2026 Morralla de calidad Difícil de conseguir | Reabierto por kpp.coomunity@gmail.com</t>
  </si>
  <si>
    <t xml:space="preserve">Rocas de Venus</t>
  </si>
  <si>
    <t xml:space="preserve">Estándar</t>
  </si>
  <si>
    <t xml:space="preserve">C</t>
  </si>
  <si>
    <t xml:space="preserve">Maritza Rodriguez</t>
  </si>
  <si>
    <t xml:space="preserve">La mitad del lote (6)/ea para producto propio</t>
  </si>
  <si>
    <t xml:space="preserve">Asteroides Verdes II</t>
  </si>
  <si>
    <t xml:space="preserve">Reserva Talismanes de Brielah | Reabierto por kpp.coomunity@gmail.com</t>
  </si>
  <si>
    <t xml:space="preserve">. | Reabierto por seguimientoproduccion1@gmail.com</t>
  </si>
  <si>
    <t xml:space="preserve">Infinita Felicidad</t>
  </si>
  <si>
    <t xml:space="preserve">Pulida</t>
  </si>
  <si>
    <t xml:space="preserve">Para Mercado Internacional</t>
  </si>
  <si>
    <t xml:space="preserve">Trascendencia</t>
  </si>
  <si>
    <t xml:space="preserve">2026-07-30 00:00:00</t>
  </si>
  <si>
    <t xml:space="preserve">Orbita Lunar</t>
  </si>
  <si>
    <t xml:space="preserve">2026-06-20 00:00:00</t>
  </si>
  <si>
    <t xml:space="preserve">Fiadas y con descuento 25% | Reabierto por kvn3toj@gmail.com: Re-dividir C-010: separar 10 gemas nombradas de #351 (Andromeda, Pandora, Namek, Cinturon de Orion)</t>
  </si>
  <si>
    <t xml:space="preserve">Lluvia de Estrellas - L</t>
  </si>
  <si>
    <t xml:space="preserve">Escazas - Difícil de Conseguir</t>
  </si>
  <si>
    <t xml:space="preserve">Otoño</t>
  </si>
  <si>
    <t xml:space="preserve">Lluvia de Bendiciones</t>
  </si>
  <si>
    <t xml:space="preserve">Rocas Sagradas -  G2</t>
  </si>
  <si>
    <t xml:space="preserve">montura para topitos</t>
  </si>
  <si>
    <t xml:space="preserve">Montura Topitos Plata Rodinada</t>
  </si>
  <si>
    <t xml:space="preserve">Reabierto por seguimientoproduccion1@gmail.com</t>
  </si>
  <si>
    <t xml:space="preserve">cerrado</t>
  </si>
  <si>
    <t xml:space="preserve">Libélulas de la Sabana II</t>
  </si>
  <si>
    <t xml:space="preserve">2026-07-31 00:00:00</t>
  </si>
  <si>
    <t xml:space="preserve">Diseño Especial</t>
  </si>
  <si>
    <t xml:space="preserve">Belleza del Caribe</t>
  </si>
  <si>
    <t xml:space="preserve">C-017</t>
  </si>
  <si>
    <t xml:space="preserve">Lote Origen que se movio por todo el mundo</t>
  </si>
  <si>
    <t xml:space="preserve">Origen</t>
  </si>
  <si>
    <t xml:space="preserve">Variado</t>
  </si>
  <si>
    <t xml:space="preserve">2026-06-17 00:00:00</t>
  </si>
  <si>
    <t xml:space="preserve">Chispitas , estan calibradas para desarrollar productos propios .se abono 1.700.000 contado .saldo Julio 1.017.000</t>
  </si>
  <si>
    <t xml:space="preserve">Moléculas de Luz</t>
  </si>
  <si>
    <t xml:space="preserve">Perma</t>
  </si>
  <si>
    <t xml:space="preserve">Partículas de Luz</t>
  </si>
  <si>
    <t xml:space="preserve">Reabierto por kpp.coomunity@gmail.com</t>
  </si>
  <si>
    <t xml:space="preserve">2026-06-18 00:00:00</t>
  </si>
  <si>
    <t xml:space="preserve">Anillo se compro a un proveedor mayorista  diferente</t>
  </si>
  <si>
    <t xml:space="preserve">Robinada</t>
  </si>
  <si>
    <t xml:space="preserve">Taller de Bronce El Rey, Joyas Artesanales</t>
  </si>
  <si>
    <t xml:space="preserve">2026-07-08 00:00:00</t>
  </si>
  <si>
    <t xml:space="preserve">Línea de producción: Joyería Artesanal · Tipo de esmeralda: Gota y Piedra Cristal | Reabierto por kpp.coomunity@gmail.com | Reabierto por kpp.coomunity@gmail.com</t>
  </si>
  <si>
    <t xml:space="preserve">Renacer de Primavera</t>
  </si>
  <si>
    <t xml:space="preserve">Susurro de Otoño</t>
  </si>
  <si>
    <t xml:space="preserve">Máximo Esplendor</t>
  </si>
  <si>
    <t xml:space="preserve">Pecado orginal</t>
  </si>
  <si>
    <t xml:space="preserve">Naturaleza viva</t>
  </si>
  <si>
    <t xml:space="preserve">kundalini</t>
  </si>
  <si>
    <t xml:space="preserve">Lirios del Agua</t>
  </si>
  <si>
    <t xml:space="preserve">Maestros del aire</t>
  </si>
  <si>
    <t xml:space="preserve">2026-07-10 00:00:00</t>
  </si>
  <si>
    <t xml:space="preserve">Migración seedBucketC: valores de sub-lote suman $584.950 vs $585.000 declarado (gap $50, rounding en la fuente) — ver reporte.</t>
  </si>
  <si>
    <t xml:space="preserve">Rocas Lunares</t>
  </si>
  <si>
    <t xml:space="preserve">Migración seedBucketC: lote base en plata, sin ítems individuales aún.</t>
  </si>
  <si>
    <t xml:space="preserve">Lote base 9 anillos de mujer</t>
  </si>
  <si>
    <t xml:space="preserve">Joyería Legado</t>
  </si>
  <si>
    <t xml:space="preserve">seedInsumosMarketing: 3 cuentas esféricas verdes ($85.000 c/u). Antes "Balines". Proveedor asumido: Joyería Legado (confirmar).</t>
  </si>
  <si>
    <t xml:space="preserve">seedInsumosMarketing: 6 cadenas ($4.000 c/u). Proveedor asumido: Joyería Legado (confirmar).</t>
  </si>
  <si>
    <t xml:space="preserve">seedInsumosMarketing: 14 pares: 4mm×6, 3mm×6, 5mm×1, 2mm×1. 1 suelto 3mm usado en Perlita #260. Proveedor asumido: Joyería Legado (confirmar).</t>
  </si>
  <si>
    <t xml:space="preserve">C-039</t>
  </si>
  <si>
    <t xml:space="preserve">seedInsumosMarketing: 15 pares: 5mm×1, 4x4.5mm×7, 3.2mm×6, 2mm×1. 1 suelto 3.2mm usado en Luz del Firmamento #257. Proveedor asumido: Joyería Legado (confirmar).</t>
  </si>
  <si>
    <t xml:space="preserve">seedInsumosMarketing: 20 pares ($25.000 c/u). 3 usados (Almas Gemelas #97, Dos Pequitas #77, Reflejos del Sol). Stock 17. Proveedor asumido: Joyería Legado (confirmar).</t>
  </si>
  <si>
    <t xml:space="preserve">seedInsumosMarketing: 14 pares 4.3mm ($35.714 c/u). 3 usados (Ojos del Universo #76, Hadas del Bosque #89, Destellos Gemelos). Stock 11. Proveedor asumido: Joyería Legado (confirmar).</t>
  </si>
  <si>
    <t xml:space="preserve">2026-07-11 00:00:00</t>
  </si>
  <si>
    <t xml:space="preserve">División de #363 'Igualdad' (C-012, 4 gemas facetadas rectangulares) en 2 pares. C-012 no reabrible (#359 VENDIDA), por eso lote dedicado. Precio mitad/mitad por par. Sub-lotes: Guardianas Gemelas + Mellizas del Alba. | Reabierto: Rework: colapsar pares en 1 ítem c/u (un QR por par)</t>
  </si>
  <si>
    <t xml:space="preserve">Igualdad — Guardianas y Mellizas</t>
  </si>
  <si>
    <t xml:space="preserve">Recuperado: referenciado por 1 ítem(s), faltaba en catálogo Lotes — verificar proveedor/costo</t>
  </si>
  <si>
    <t xml:space="preserve">Infinito Amor</t>
  </si>
  <si>
    <t xml:space="preserve">Misterio Profundo</t>
  </si>
  <si>
    <t xml:space="preserve">Dos Luciérnagas</t>
  </si>
  <si>
    <t xml:space="preserve">Recuperado: referenciado por 21 ítem(s), faltaba en catálogo Lotes — verificar proveedor/costo</t>
  </si>
  <si>
    <t xml:space="preserve">Hadas del Bosque + Chatones Planos</t>
  </si>
  <si>
    <t xml:space="preserve">Recuperado: referenciado por 2 ítem(s), faltaba en catálogo Lotes — verificar proveedor/costo</t>
  </si>
  <si>
    <t xml:space="preserve">Luz del Firmamento (Topo Plano 3,2mm)</t>
  </si>
  <si>
    <t xml:space="preserve">2026-07-15</t>
  </si>
  <si>
    <t xml:space="preserve">Topito  Plano Solitario 5mm</t>
  </si>
  <si>
    <t xml:space="preserve">Ojos del Universo (chatones mariposa)</t>
  </si>
  <si>
    <t xml:space="preserve">Dos Pequitas</t>
  </si>
  <si>
    <t xml:space="preserve">Poseidón (falta gema)</t>
  </si>
  <si>
    <t xml:space="preserve">Recuperado: referenciado por 7 ítem(s), faltaba en catálogo Lotes — verificar proveedor/costo</t>
  </si>
  <si>
    <t xml:space="preserve">Grecia</t>
  </si>
  <si>
    <t xml:space="preserve">El Secreto de Tena</t>
  </si>
  <si>
    <t xml:space="preserve">Ojo de la Pantera</t>
  </si>
  <si>
    <t xml:space="preserve">Jazmín</t>
  </si>
  <si>
    <t xml:space="preserve">Libélulas de la Sabana</t>
  </si>
  <si>
    <t xml:space="preserve">Viento Nocturno</t>
  </si>
  <si>
    <t xml:space="preserve">Manillas Colombia</t>
  </si>
  <si>
    <t xml:space="preserve">Recuperado: referenciado por 14 ítem(s), faltaba en catálogo Lotes — verificar proveedor/costo</t>
  </si>
  <si>
    <t xml:space="preserve">Chatones de Mariposa 4,2mm</t>
  </si>
  <si>
    <t xml:space="preserve">Recuperado: referenciado por 12 ítem(s), faltaba en catálogo Lotes — verificar proveedor/costo</t>
  </si>
  <si>
    <t xml:space="preserve">Innombradas</t>
  </si>
  <si>
    <t xml:space="preserve">Recuperado: referenciado por 10 ítem(s), faltaba en catálogo Lotes — verificar proveedor/costo</t>
  </si>
  <si>
    <t xml:space="preserve">Recuperado: referenciado por 3 ítem(s), faltaba en catálogo Lotes — verificar proveedor/costo</t>
  </si>
  <si>
    <t xml:space="preserve">Recuperado: referenciado por 13 ítem(s), faltaba en catálogo Lotes — verificar proveedor/costo</t>
  </si>
  <si>
    <t xml:space="preserve">Luna Creciente</t>
  </si>
  <si>
    <t xml:space="preserve">Gota del Amazonas</t>
  </si>
  <si>
    <t xml:space="preserve">Gotita de Amor</t>
  </si>
  <si>
    <t xml:space="preserve">MED-001</t>
  </si>
  <si>
    <t xml:space="preserve">2026-07-14 00:00:00</t>
  </si>
  <si>
    <t xml:space="preserve">efectivo</t>
  </si>
  <si>
    <t xml:space="preserve">MED</t>
  </si>
  <si>
    <t xml:space="preserve">MED-002</t>
  </si>
  <si>
    <t xml:space="preserve">MED-003</t>
  </si>
  <si>
    <t xml:space="preserve">MED-004</t>
  </si>
  <si>
    <t xml:space="preserve">2026-07-13 00:00:00</t>
  </si>
  <si>
    <t xml:space="preserve">MED-005</t>
  </si>
  <si>
    <t xml:space="preserve">MED-006</t>
  </si>
  <si>
    <t xml:space="preserve">MED-007</t>
  </si>
  <si>
    <t xml:space="preserve">MED-008</t>
  </si>
  <si>
    <t xml:space="preserve">MED-009</t>
  </si>
  <si>
    <t xml:space="preserve">MED-010</t>
  </si>
  <si>
    <t xml:space="preserve">MED-011</t>
  </si>
  <si>
    <t xml:space="preserve">MED-012</t>
  </si>
  <si>
    <t xml:space="preserve">MED-014</t>
  </si>
  <si>
    <t xml:space="preserve">MED-015</t>
  </si>
  <si>
    <t xml:space="preserve">MED-016</t>
  </si>
  <si>
    <t xml:space="preserve">MED-017</t>
  </si>
  <si>
    <t xml:space="preserve">MED-018</t>
  </si>
  <si>
    <t xml:space="preserve">MED-019</t>
  </si>
  <si>
    <t xml:space="preserve">MED-020</t>
  </si>
  <si>
    <t xml:space="preserve">MED-021</t>
  </si>
  <si>
    <t xml:space="preserve">MED-022</t>
  </si>
  <si>
    <t xml:space="preserve">MED-023</t>
  </si>
  <si>
    <t xml:space="preserve">MED-024</t>
  </si>
  <si>
    <t xml:space="preserve">S-001</t>
  </si>
  <si>
    <t xml:space="preserve">lote Origen que recorrio el mundo</t>
  </si>
  <si>
    <t xml:space="preserve">Chivor y Muzo</t>
  </si>
  <si>
    <t xml:space="preserve">S</t>
  </si>
  <si>
    <t xml:space="preserve">subLoteId</t>
  </si>
  <si>
    <t xml:space="preserve">parentLoteId</t>
  </si>
  <si>
    <t xml:space="preserve">nombre</t>
  </si>
  <si>
    <t xml:space="preserve">itemIds</t>
  </si>
  <si>
    <t xml:space="preserve">unidades</t>
  </si>
  <si>
    <t xml:space="preserve">totalCostoCOP</t>
  </si>
  <si>
    <t xml:space="preserve">createdAt</t>
  </si>
  <si>
    <t xml:space="preserve">398, 399</t>
  </si>
  <si>
    <t xml:space="preserve">activa</t>
  </si>
  <si>
    <t xml:space="preserve">2026-07-08T09:40:59.890Z</t>
  </si>
  <si>
    <t xml:space="preserve">400, 401</t>
  </si>
  <si>
    <t xml:space="preserve">2026-07-08T09:41:36.289Z</t>
  </si>
  <si>
    <t xml:space="preserve">403, 404, 405, 406</t>
  </si>
  <si>
    <t xml:space="preserve">2026-07-08T10:54:56.925Z</t>
  </si>
  <si>
    <t xml:space="preserve">407, 408, 409</t>
  </si>
  <si>
    <t xml:space="preserve">2026-07-08T11:04:10.532Z</t>
  </si>
  <si>
    <t xml:space="preserve">410, 411</t>
  </si>
  <si>
    <t xml:space="preserve">2026-07-08T11:09:30.547Z</t>
  </si>
  <si>
    <t xml:space="preserve">412, 413, 414</t>
  </si>
  <si>
    <t xml:space="preserve">2026-07-08T11:14:28.335Z</t>
  </si>
  <si>
    <t xml:space="preserve">415, 416</t>
  </si>
  <si>
    <t xml:space="preserve">2026-07-08T11:18:51.513Z</t>
  </si>
  <si>
    <t xml:space="preserve">467, 468</t>
  </si>
  <si>
    <t xml:space="preserve">archivada</t>
  </si>
  <si>
    <t xml:space="preserve">Par para dijes. Ex 'Igualdad Dijes' (#363).</t>
  </si>
  <si>
    <t xml:space="preserve">2026-07-12T01:02:42.515Z</t>
  </si>
  <si>
    <t xml:space="preserve">469, 470</t>
  </si>
  <si>
    <t xml:space="preserve">Par para topitos. Ex 'Igualdad Topitos' (#363).</t>
  </si>
  <si>
    <t xml:space="preserve">2026-07-12T01:02:44.192Z</t>
  </si>
  <si>
    <t xml:space="preserve">nombreORazonSocial</t>
  </si>
  <si>
    <t xml:space="preserve">nit</t>
  </si>
  <si>
    <t xml:space="preserve">cedula</t>
  </si>
  <si>
    <t xml:space="preserve">direccion</t>
  </si>
  <si>
    <t xml:space="preserve">telefono</t>
  </si>
  <si>
    <t xml:space="preserve">email</t>
  </si>
  <si>
    <t xml:space="preserve">tipo</t>
  </si>
  <si>
    <t xml:space="preserve">80179071</t>
  </si>
  <si>
    <t xml:space="preserve">carrera6#14-74 Edificio Explinter Oficina 904</t>
  </si>
  <si>
    <t xml:space="preserve">57 3100000</t>
  </si>
  <si>
    <t xml:space="preserve">gerenciatel@gmail.com</t>
  </si>
  <si>
    <t xml:space="preserve">gemas</t>
  </si>
  <si>
    <t xml:space="preserve">Proveedor Exclusivo  de gemas aliado estrategico</t>
  </si>
  <si>
    <t xml:space="preserve">joyas</t>
  </si>
  <si>
    <t xml:space="preserve">Bogotá (contacto: Giovanny Ríos)</t>
  </si>
  <si>
    <t xml:space="preserve">3118660925</t>
  </si>
  <si>
    <t xml:space="preserve">insumos</t>
  </si>
  <si>
    <t xml:space="preserve">asesorId</t>
  </si>
  <si>
    <t xml:space="preserve">Álvaro Pelaéz</t>
  </si>
  <si>
    <t xml:space="preserve">aljop84@gmail.com</t>
  </si>
  <si>
    <t xml:space="preserve">embajador</t>
  </si>
  <si>
    <t xml:space="preserve">alvaro-pelaez</t>
  </si>
  <si>
    <t xml:space="preserve">Ana María Peláez</t>
  </si>
  <si>
    <t xml:space="preserve">ana.pelaezc@gmail.com</t>
  </si>
  <si>
    <t xml:space="preserve">ana-maria-pelaez</t>
  </si>
  <si>
    <t xml:space="preserve">Andres Agudelo</t>
  </si>
  <si>
    <t xml:space="preserve">jesus.agudelo8815@gmail.com</t>
  </si>
  <si>
    <t xml:space="preserve">andres-agudelo</t>
  </si>
  <si>
    <t xml:space="preserve">3045777537</t>
  </si>
  <si>
    <t xml:space="preserve">mauroverryfire1@gmail.com</t>
  </si>
  <si>
    <t xml:space="preserve">andres-mauricio-echeverry-naranjo</t>
  </si>
  <si>
    <t xml:space="preserve">Andrés Mauricio Escobar Ramírez</t>
  </si>
  <si>
    <t xml:space="preserve">3167447931</t>
  </si>
  <si>
    <t xml:space="preserve">cvocmnty@gmail.com</t>
  </si>
  <si>
    <t xml:space="preserve">andres-mauricio-escobar-ramirez</t>
  </si>
  <si>
    <t xml:space="preserve">Brenda Gómez</t>
  </si>
  <si>
    <t xml:space="preserve">brendiis.gomez@hotmail.com</t>
  </si>
  <si>
    <t xml:space="preserve">brenda-gomez</t>
  </si>
  <si>
    <t xml:space="preserve">Carolina Molina</t>
  </si>
  <si>
    <t xml:space="preserve">ancamole@gmail.com</t>
  </si>
  <si>
    <t xml:space="preserve">carolina-molina</t>
  </si>
  <si>
    <t xml:space="preserve">Comercial Tierra Mädre</t>
  </si>
  <si>
    <t xml:space="preserve">comercial.tierramadre@gmail.com</t>
  </si>
  <si>
    <t xml:space="preserve">comercial-tierra-madre</t>
  </si>
  <si>
    <t xml:space="preserve">Diana Suárez</t>
  </si>
  <si>
    <t xml:space="preserve">dxsuarez87@gmail.com</t>
  </si>
  <si>
    <t xml:space="preserve">diana-suarez</t>
  </si>
  <si>
    <t xml:space="preserve">3005271933</t>
  </si>
  <si>
    <t xml:space="preserve">isalavikinga@gmail.com</t>
  </si>
  <si>
    <t xml:space="preserve">isa-la-negra-vikinga-warrior-portocarrero</t>
  </si>
  <si>
    <t xml:space="preserve">34 6432159098</t>
  </si>
  <si>
    <t xml:space="preserve">jru2712@gmail.com</t>
  </si>
  <si>
    <t xml:space="preserve">jackeline-riascos-urrea</t>
  </si>
  <si>
    <t xml:space="preserve">Jennyfer Florez Ocampo</t>
  </si>
  <si>
    <t xml:space="preserve">3195064211</t>
  </si>
  <si>
    <t xml:space="preserve">jennyferflorezcoach@gmail.com</t>
  </si>
  <si>
    <t xml:space="preserve">jennyfer-florez-ocampo</t>
  </si>
  <si>
    <t xml:space="preserve">José Ignacio Florez Ricardo</t>
  </si>
  <si>
    <t xml:space="preserve">jflorezricardo@gmail.com</t>
  </si>
  <si>
    <t xml:space="preserve">jose-ignacio-florez-ricardo</t>
  </si>
  <si>
    <t xml:space="preserve">3041313637</t>
  </si>
  <si>
    <t xml:space="preserve">juanmanuelescobarco@gmail.com</t>
  </si>
  <si>
    <t xml:space="preserve">juan-manuel-escobar-ramirez</t>
  </si>
  <si>
    <t xml:space="preserve">Juan Pablo Loaiza</t>
  </si>
  <si>
    <t xml:space="preserve">3042185582</t>
  </si>
  <si>
    <t xml:space="preserve">bookingradial@gmail.com</t>
  </si>
  <si>
    <t xml:space="preserve">juan-pablo-loaiza</t>
  </si>
  <si>
    <t xml:space="preserve">Juliana Forbes</t>
  </si>
  <si>
    <t xml:space="preserve">diamanteforbes@gmail.com</t>
  </si>
  <si>
    <t xml:space="preserve">juliana-forbes</t>
  </si>
  <si>
    <t xml:space="preserve">Kevin Pineda Perez</t>
  </si>
  <si>
    <t xml:space="preserve">3104149166</t>
  </si>
  <si>
    <t xml:space="preserve">kpp.coomunity@gmail.com</t>
  </si>
  <si>
    <t xml:space="preserve">kevin-pineda-perez</t>
  </si>
  <si>
    <t xml:space="preserve">Luis Alfonso Ospina Arias</t>
  </si>
  <si>
    <t xml:space="preserve">3176438744</t>
  </si>
  <si>
    <t xml:space="preserve">lalfonso1713@gmail.com</t>
  </si>
  <si>
    <t xml:space="preserve">luis-alfonso-ospina-arias</t>
  </si>
  <si>
    <t xml:space="preserve">Mario Andres Gomez Morales</t>
  </si>
  <si>
    <t xml:space="preserve">3159908888</t>
  </si>
  <si>
    <t xml:space="preserve">magox.coomunity@gmail.com</t>
  </si>
  <si>
    <t xml:space="preserve">mario-andres-gomez-morales</t>
  </si>
  <si>
    <t xml:space="preserve">Marsha Jauregui</t>
  </si>
  <si>
    <t xml:space="preserve">magnifikesmagnifik@gmail.com</t>
  </si>
  <si>
    <t xml:space="preserve">marsha-jauregui</t>
  </si>
  <si>
    <t xml:space="preserve">Martiza campuzano Rodriguez</t>
  </si>
  <si>
    <t xml:space="preserve">3166279999</t>
  </si>
  <si>
    <t xml:space="preserve">seguimientoproduccion1@gmail.com</t>
  </si>
  <si>
    <t xml:space="preserve">martiza-campuzano-rodriguez</t>
  </si>
  <si>
    <t xml:space="preserve">Mauricio Ruiz</t>
  </si>
  <si>
    <t xml:space="preserve">mauricio-ruiz</t>
  </si>
  <si>
    <t xml:space="preserve">Migdalia Gomez Serna</t>
  </si>
  <si>
    <t xml:space="preserve">3007669141</t>
  </si>
  <si>
    <t xml:space="preserve">migdaliagomezserna553@gmail.com</t>
  </si>
  <si>
    <t xml:space="preserve">migdalia-gomez-serna</t>
  </si>
  <si>
    <t xml:space="preserve">3215274171</t>
  </si>
  <si>
    <t xml:space="preserve">mitchellmorenoinvestor@gmail.com</t>
  </si>
  <si>
    <t xml:space="preserve">mitchel-moreno-marin</t>
  </si>
  <si>
    <t xml:space="preserve">Olga Lucia Florez Giraldo</t>
  </si>
  <si>
    <t xml:space="preserve">3104101013</t>
  </si>
  <si>
    <t xml:space="preserve">olgaluciafg@gmail.com</t>
  </si>
  <si>
    <t xml:space="preserve">olga-lucia-florez-giraldo</t>
  </si>
  <si>
    <t xml:space="preserve">Sebastián Pión</t>
  </si>
  <si>
    <t xml:space="preserve">sebastianpion@gmail.com</t>
  </si>
  <si>
    <t xml:space="preserve">sebastian-pion</t>
  </si>
  <si>
    <t xml:space="preserve">Tierra Mädre</t>
  </si>
  <si>
    <t xml:space="preserve">tierramadre.co@gmail.com</t>
  </si>
  <si>
    <t xml:space="preserve">tierra-madre</t>
  </si>
  <si>
    <t xml:space="preserve">Comunicaciones</t>
  </si>
  <si>
    <t xml:space="preserve">comunicaciones.tierramadre@gmail.com</t>
  </si>
  <si>
    <t xml:space="preserve">comunicaciones</t>
  </si>
  <si>
    <t xml:space="preserve">Valentina Rengifo</t>
  </si>
  <si>
    <t xml:space="preserve">valentinarengifo8@gmail.com</t>
  </si>
  <si>
    <t xml:space="preserve">valentina-rengifo</t>
  </si>
  <si>
    <t xml:space="preserve">saleId</t>
  </si>
  <si>
    <t xml:space="preserve">fechaVenta</t>
  </si>
  <si>
    <t xml:space="preserve">itemIdsJoined</t>
  </si>
  <si>
    <t xml:space="preserve">clientNombre</t>
  </si>
  <si>
    <t xml:space="preserve">precioAcordadoCOP</t>
  </si>
  <si>
    <t xml:space="preserve">descuentoCOP</t>
  </si>
  <si>
    <t xml:space="preserve">totalCOP</t>
  </si>
  <si>
    <t xml:space="preserve">comisionCOP</t>
  </si>
  <si>
    <t xml:space="preserve">carnetUrl</t>
  </si>
  <si>
    <t xml:space="preserve">VC-0001</t>
  </si>
  <si>
    <t xml:space="preserve">2026-06-03T00:01:02.912Z</t>
  </si>
  <si>
    <t xml:space="preserve">140</t>
  </si>
  <si>
    <t xml:space="preserve">https://drive.google.com/uc?export=view&amp;id=1ZIz5x4B3wXvlm_hl2WtnDL6W7mhMGJrH</t>
  </si>
  <si>
    <t xml:space="preserve">confirmada</t>
  </si>
  <si>
    <t xml:space="preserve">VC-0004</t>
  </si>
  <si>
    <t xml:space="preserve">2026-07-02T05:47:51.392Z</t>
  </si>
  <si>
    <t xml:space="preserve">367, 349, 87, 308, 99, 223, 346, 347, 307, 102, 127, 333, 325, 142</t>
  </si>
  <si>
    <t xml:space="preserve">https://drive.google.com/file/d/1zfwGl7NeUgCkbb6CT8QjaRaZi9jnNJOh/view</t>
  </si>
  <si>
    <t xml:space="preserve">VC-0005</t>
  </si>
  <si>
    <t xml:space="preserve">2026-07-09T19:05:08.909Z</t>
  </si>
  <si>
    <t xml:space="preserve">https://drive.google.com/file/d/1aUkGHZqSPBtYUd78v4ksjz3-ulWRm3jS/view</t>
  </si>
  <si>
    <t xml:space="preserve">Calidad (canónica)</t>
  </si>
  <si>
    <t xml:space="preserve">Factor precio</t>
  </si>
  <si>
    <t xml:space="preserve">Nota</t>
  </si>
  <si>
    <t xml:space="preserve">INSIGNIFICANT</t>
  </si>
  <si>
    <t xml:space="preserve">MINOR</t>
  </si>
  <si>
    <t xml:space="preserve">Morralla Pulida</t>
  </si>
  <si>
    <t xml:space="preserve">Morralla Comercial</t>
  </si>
  <si>
    <t xml:space="preserve">Markup base (TM_MARKUP_DEFAULT)</t>
  </si>
  <si>
    <t xml:space="preserve">color</t>
  </si>
  <si>
    <t xml:space="preserve">calidad</t>
  </si>
  <si>
    <t xml:space="preserve">talla</t>
  </si>
  <si>
    <t xml:space="preserve">medidas</t>
  </si>
  <si>
    <t xml:space="preserve">categoria</t>
  </si>
  <si>
    <t xml:space="preserve">ubicacion</t>
  </si>
  <si>
    <t xml:space="preserve">coleccion</t>
  </si>
  <si>
    <t xml:space="preserve">caja</t>
  </si>
  <si>
    <t xml:space="preserve">mostrar</t>
  </si>
  <si>
    <t xml:space="preserve">escala16</t>
  </si>
  <si>
    <t xml:space="preserve">provTipo</t>
  </si>
  <si>
    <t xml:space="preserve">cliTipo</t>
  </si>
  <si>
    <t xml:space="preserve">lotEstado</t>
  </si>
  <si>
    <t xml:space="preserve">saleEstado</t>
  </si>
  <si>
    <t xml:space="preserve">0</t>
  </si>
  <si>
    <t xml:space="preserve">BOVEDA</t>
  </si>
  <si>
    <t xml:space="preserve">Piedra</t>
  </si>
  <si>
    <t xml:space="preserve">Platino</t>
  </si>
  <si>
    <t xml:space="preserve">Diamante</t>
  </si>
  <si>
    <t xml:space="preserve">X1</t>
  </si>
  <si>
    <t xml:space="preserve">10%</t>
  </si>
  <si>
    <t xml:space="preserve">Sí</t>
  </si>
  <si>
    <t xml:space="preserve">reservada</t>
  </si>
  <si>
    <t xml:space="preserve">Ninguno</t>
  </si>
  <si>
    <t xml:space="preserve">Topitos Grandes</t>
  </si>
  <si>
    <t xml:space="preserve">Microengaste</t>
  </si>
  <si>
    <t xml:space="preserve">Oro</t>
  </si>
  <si>
    <t xml:space="preserve">Rubí</t>
  </si>
  <si>
    <t xml:space="preserve">X1,5</t>
  </si>
  <si>
    <t xml:space="preserve">X1,1</t>
  </si>
  <si>
    <t xml:space="preserve">20%</t>
  </si>
  <si>
    <t xml:space="preserve">No</t>
  </si>
  <si>
    <t xml:space="preserve">final</t>
  </si>
  <si>
    <t xml:space="preserve">Aceite</t>
  </si>
  <si>
    <t xml:space="preserve">Verde Azuloso</t>
  </si>
  <si>
    <t xml:space="preserve">Topitos Hombre</t>
  </si>
  <si>
    <t xml:space="preserve">Oro Rosado</t>
  </si>
  <si>
    <t xml:space="preserve">Zafiro</t>
  </si>
  <si>
    <t xml:space="preserve">X2</t>
  </si>
  <si>
    <t xml:space="preserve">X1,2</t>
  </si>
  <si>
    <t xml:space="preserve">30%</t>
  </si>
  <si>
    <t xml:space="preserve">TRUE</t>
  </si>
  <si>
    <t xml:space="preserve">esmereogenesis</t>
  </si>
  <si>
    <t xml:space="preserve">crypto</t>
  </si>
  <si>
    <t xml:space="preserve">cancelada</t>
  </si>
  <si>
    <t xml:space="preserve">Resina</t>
  </si>
  <si>
    <t xml:space="preserve">Coscuez</t>
  </si>
  <si>
    <t xml:space="preserve">Cola</t>
  </si>
  <si>
    <t xml:space="preserve">Fundición</t>
  </si>
  <si>
    <t xml:space="preserve">Oro Italiano</t>
  </si>
  <si>
    <t xml:space="preserve">Circones (Natural)</t>
  </si>
  <si>
    <t xml:space="preserve">X2,5</t>
  </si>
  <si>
    <t xml:space="preserve">40%</t>
  </si>
  <si>
    <t xml:space="preserve">FALSE</t>
  </si>
  <si>
    <t xml:space="preserve">otros</t>
  </si>
  <si>
    <t xml:space="preserve">canje</t>
  </si>
  <si>
    <t xml:space="preserve">Cedar</t>
  </si>
  <si>
    <t xml:space="preserve">Gachalá</t>
  </si>
  <si>
    <t xml:space="preserve">Cera perdida</t>
  </si>
  <si>
    <t xml:space="preserve">Oro Blanco</t>
  </si>
  <si>
    <t xml:space="preserve">Circonia</t>
  </si>
  <si>
    <t xml:space="preserve">X3</t>
  </si>
  <si>
    <t xml:space="preserve">50%</t>
  </si>
  <si>
    <t xml:space="preserve">bajo_pedido</t>
  </si>
  <si>
    <t xml:space="preserve">CLIENTE</t>
  </si>
  <si>
    <t xml:space="preserve">Peñas Blancas</t>
  </si>
  <si>
    <t xml:space="preserve">Ganga</t>
  </si>
  <si>
    <t xml:space="preserve">Repujado</t>
  </si>
  <si>
    <t xml:space="preserve">Oro Negro</t>
  </si>
  <si>
    <t xml:space="preserve">Cuarzos</t>
  </si>
  <si>
    <t xml:space="preserve">60%</t>
  </si>
  <si>
    <t xml:space="preserve">consignacion</t>
  </si>
  <si>
    <t xml:space="preserve">Verde Selva</t>
  </si>
  <si>
    <t xml:space="preserve">EN PRODUCCION</t>
  </si>
  <si>
    <t xml:space="preserve">La Pita</t>
  </si>
  <si>
    <t xml:space="preserve">Macla</t>
  </si>
  <si>
    <t xml:space="preserve">Cadena</t>
  </si>
  <si>
    <t xml:space="preserve">Calado</t>
  </si>
  <si>
    <t xml:space="preserve">Plata 925</t>
  </si>
  <si>
    <t xml:space="preserve">70%</t>
  </si>
  <si>
    <t xml:space="preserve">Brillante</t>
  </si>
  <si>
    <t xml:space="preserve">EN CERTIFICACION</t>
  </si>
  <si>
    <t xml:space="preserve">Quípama</t>
  </si>
  <si>
    <t xml:space="preserve">Expansión</t>
  </si>
  <si>
    <t xml:space="preserve">Martillado</t>
  </si>
  <si>
    <t xml:space="preserve">Plata Rodinada</t>
  </si>
  <si>
    <t xml:space="preserve">Cabuchon</t>
  </si>
  <si>
    <t xml:space="preserve">LOTE X CT</t>
  </si>
  <si>
    <t xml:space="preserve">Maripí</t>
  </si>
  <si>
    <t xml:space="preserve">Granulado</t>
  </si>
  <si>
    <t xml:space="preserve">Plata China</t>
  </si>
  <si>
    <t xml:space="preserve">Verde Viche</t>
  </si>
  <si>
    <t xml:space="preserve">Otanche</t>
  </si>
  <si>
    <t xml:space="preserve">Otros</t>
  </si>
  <si>
    <t xml:space="preserve">Soldadura</t>
  </si>
  <si>
    <t xml:space="preserve">Plata Baño de Oro</t>
  </si>
  <si>
    <t xml:space="preserve">Pauna</t>
  </si>
  <si>
    <t xml:space="preserve">Candonga</t>
  </si>
  <si>
    <t xml:space="preserve">Electroformado</t>
  </si>
  <si>
    <t xml:space="preserve">Bronce</t>
  </si>
  <si>
    <t xml:space="preserve">Verde Diamantado</t>
  </si>
  <si>
    <t xml:space="preserve">San Pablo de Borbur</t>
  </si>
  <si>
    <t xml:space="preserve">Set</t>
  </si>
  <si>
    <t xml:space="preserve">Bronce Baño de Oro</t>
  </si>
  <si>
    <t xml:space="preserve">Verde Brillante</t>
  </si>
  <si>
    <t xml:space="preserve">Yacopí</t>
  </si>
  <si>
    <t xml:space="preserve">Tela</t>
  </si>
  <si>
    <t xml:space="preserve">Collar</t>
  </si>
  <si>
    <t xml:space="preserve">Hilos</t>
  </si>
  <si>
    <t xml:space="preserve">Marquise</t>
  </si>
  <si>
    <t xml:space="preserve">Pera</t>
  </si>
  <si>
    <t xml:space="preserve">Princesa</t>
  </si>
  <si>
    <t xml:space="preserve">Superman</t>
  </si>
  <si>
    <t xml:space="preserve">Trapecio</t>
  </si>
  <si>
    <t xml:space="preserve">Trillion</t>
  </si>
  <si>
    <t xml:space="preserve">Antiguo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</si>
</sst>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#,##0;\(#,##0\);\-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8C61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008C6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8C61"/>
        <bgColor rgb="FF0E6E52"/>
      </patternFill>
    </fill>
    <fill>
      <patternFill patternType="solid">
        <fgColor rgb="FFB88A2B"/>
        <bgColor rgb="FF8A6D1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3E0"/>
      </left>
      <right style="thin">
        <color rgb="FFDDE3E0"/>
      </right>
      <top style="thin">
        <color rgb="FFDDE3E0"/>
      </top>
      <bottom style="thin">
        <color rgb="FFDDE3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8C6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88A2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1F"/>
      <rgbColor rgb="FF800080"/>
      <rgbColor rgb="FF008C61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3E0"/>
      <rgbColor rgb="FF000080"/>
      <rgbColor rgb="FFFF00FF"/>
      <rgbColor rgb="FFFFFF00"/>
      <rgbColor rgb="FF00FFFF"/>
      <rgbColor rgb="FF800080"/>
      <rgbColor rgb="FF800000"/>
      <rgbColor rgb="FF0E6E52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88A2B"/>
      <rgbColor rgb="FF1A3C34"/>
      <rgbColor rgb="FF339966"/>
      <rgbColor rgb="FF003300"/>
      <rgbColor rgb="FF333300"/>
      <rgbColor rgb="FF6E4E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C34"/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C61"/>
    <pageSetUpPr fitToPage="false"/>
  </sheetPr>
  <dimension ref="A1:BE5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6"/>
    <col collapsed="false" customWidth="true" hidden="false" outlineLevel="0" max="9" min="8" style="0" width="13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3"/>
    <col collapsed="false" customWidth="true" hidden="false" outlineLevel="0" max="14" min="13" style="0" width="14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4"/>
    <col collapsed="false" customWidth="true" hidden="false" outlineLevel="0" max="18" min="18" style="0" width="8"/>
    <col collapsed="false" customWidth="true" hidden="false" outlineLevel="0" max="19" min="19" style="0" width="20"/>
    <col collapsed="false" customWidth="true" hidden="false" outlineLevel="0" max="20" min="20" style="0" width="16"/>
    <col collapsed="false" customWidth="true" hidden="false" outlineLevel="0" max="21" min="21" style="0" width="11"/>
    <col collapsed="false" customWidth="true" hidden="false" outlineLevel="0" max="22" min="22" style="0" width="14"/>
    <col collapsed="false" customWidth="true" hidden="false" outlineLevel="0" max="23" min="23" style="0" width="13"/>
    <col collapsed="false" customWidth="true" hidden="false" outlineLevel="0" max="25" min="24" style="0" width="10"/>
    <col collapsed="false" customWidth="true" hidden="false" outlineLevel="0" max="26" min="26" style="0" width="14"/>
    <col collapsed="false" customWidth="true" hidden="false" outlineLevel="0" max="27" min="27" style="0" width="24"/>
    <col collapsed="false" customWidth="true" hidden="false" outlineLevel="0" max="28" min="28" style="0" width="12"/>
    <col collapsed="false" customWidth="true" hidden="false" outlineLevel="0" max="29" min="29" style="0" width="11"/>
    <col collapsed="false" customWidth="true" hidden="false" outlineLevel="0" max="31" min="30" style="0" width="9"/>
    <col collapsed="false" customWidth="true" hidden="false" outlineLevel="0" max="32" min="32" style="0" width="14"/>
    <col collapsed="false" customWidth="true" hidden="false" outlineLevel="0" max="35" min="33" style="0" width="13"/>
    <col collapsed="false" customWidth="true" hidden="false" outlineLevel="0" max="37" min="36" style="0" width="16"/>
    <col collapsed="false" customWidth="true" hidden="false" outlineLevel="0" max="38" min="38" style="0" width="22"/>
    <col collapsed="false" customWidth="true" hidden="false" outlineLevel="0" max="39" min="39" style="0" width="18"/>
    <col collapsed="false" customWidth="true" hidden="false" outlineLevel="0" max="41" min="40" style="0" width="11"/>
    <col collapsed="false" customWidth="true" hidden="false" outlineLevel="0" max="42" min="42" style="0" width="12"/>
    <col collapsed="false" customWidth="true" hidden="false" outlineLevel="0" max="43" min="43" style="0" width="8"/>
    <col collapsed="false" customWidth="true" hidden="false" outlineLevel="0" max="45" min="44" style="0" width="14"/>
    <col collapsed="false" customWidth="true" hidden="false" outlineLevel="0" max="48" min="46" style="0" width="13"/>
    <col collapsed="false" customWidth="true" hidden="false" outlineLevel="0" max="49" min="49" style="0" width="12"/>
    <col collapsed="false" customWidth="true" hidden="false" outlineLevel="0" max="50" min="50" style="0" width="18"/>
    <col collapsed="false" customWidth="true" hidden="false" outlineLevel="0" max="51" min="51" style="0" width="13"/>
    <col collapsed="false" customWidth="true" hidden="false" outlineLevel="0" max="52" min="52" style="0" width="12"/>
    <col collapsed="false" customWidth="true" hidden="false" outlineLevel="0" max="53" min="53" style="0" width="24"/>
    <col collapsed="false" customWidth="true" hidden="false" outlineLevel="0" max="54" min="54" style="0" width="26"/>
    <col collapsed="false" customWidth="true" hidden="false" outlineLevel="0" max="55" min="55" style="0" width="40"/>
    <col collapsed="false" customWidth="true" hidden="false" outlineLevel="0" max="56" min="56" style="0" width="22"/>
    <col collapsed="false" customWidth="true" hidden="false" outlineLevel="0" max="57" min="57" style="0" width="34"/>
  </cols>
  <sheetData>
    <row r="1" customFormat="false" ht="30" hidden="false" customHeight="true" outlineLevel="0" collapsed="false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  <c r="V1" s="4" t="s">
        <v>47</v>
      </c>
      <c r="W1" s="4" t="s">
        <v>48</v>
      </c>
      <c r="X1" s="4" t="s">
        <v>49</v>
      </c>
      <c r="Y1" s="4" t="s">
        <v>50</v>
      </c>
      <c r="Z1" s="4" t="s">
        <v>51</v>
      </c>
      <c r="AA1" s="4" t="s">
        <v>52</v>
      </c>
      <c r="AB1" s="4" t="s">
        <v>53</v>
      </c>
      <c r="AC1" s="4" t="s">
        <v>54</v>
      </c>
      <c r="AD1" s="4" t="s">
        <v>55</v>
      </c>
      <c r="AE1" s="4" t="s">
        <v>56</v>
      </c>
      <c r="AF1" s="4" t="s">
        <v>57</v>
      </c>
      <c r="AG1" s="4" t="s">
        <v>58</v>
      </c>
      <c r="AH1" s="4" t="s">
        <v>59</v>
      </c>
      <c r="AI1" s="4" t="s">
        <v>60</v>
      </c>
      <c r="AJ1" s="4" t="s">
        <v>61</v>
      </c>
      <c r="AK1" s="4" t="s">
        <v>62</v>
      </c>
      <c r="AL1" s="4" t="s">
        <v>63</v>
      </c>
      <c r="AM1" s="4" t="s">
        <v>64</v>
      </c>
      <c r="AN1" s="4" t="s">
        <v>65</v>
      </c>
      <c r="AO1" s="4" t="s">
        <v>66</v>
      </c>
      <c r="AP1" s="4" t="s">
        <v>67</v>
      </c>
      <c r="AQ1" s="5" t="s">
        <v>68</v>
      </c>
      <c r="AR1" s="5" t="s">
        <v>69</v>
      </c>
      <c r="AS1" s="5" t="s">
        <v>70</v>
      </c>
      <c r="AT1" s="5" t="s">
        <v>71</v>
      </c>
      <c r="AU1" s="5" t="s">
        <v>72</v>
      </c>
      <c r="AV1" s="5" t="s">
        <v>73</v>
      </c>
      <c r="AW1" s="5" t="s">
        <v>74</v>
      </c>
      <c r="AX1" s="5" t="s">
        <v>75</v>
      </c>
      <c r="AY1" s="5" t="s">
        <v>76</v>
      </c>
      <c r="AZ1" s="5" t="s">
        <v>77</v>
      </c>
      <c r="BA1" s="5" t="s">
        <v>78</v>
      </c>
      <c r="BB1" s="5" t="s">
        <v>79</v>
      </c>
      <c r="BC1" s="5" t="s">
        <v>80</v>
      </c>
      <c r="BD1" s="5" t="s">
        <v>81</v>
      </c>
      <c r="BE1" s="5" t="s">
        <v>82</v>
      </c>
    </row>
    <row r="2" customFormat="false" ht="23.85" hidden="false" customHeight="false" outlineLevel="0" collapsed="false">
      <c r="A2" s="6" t="n">
        <v>1</v>
      </c>
      <c r="B2" s="7" t="s">
        <v>83</v>
      </c>
      <c r="C2" s="7" t="s">
        <v>84</v>
      </c>
      <c r="D2" s="8" t="n">
        <v>1.47</v>
      </c>
      <c r="E2" s="7" t="s">
        <v>85</v>
      </c>
      <c r="F2" s="7" t="s">
        <v>86</v>
      </c>
      <c r="G2" s="6" t="n">
        <v>1</v>
      </c>
      <c r="H2" s="7" t="s">
        <v>87</v>
      </c>
      <c r="I2" s="7"/>
      <c r="J2" s="7"/>
      <c r="K2" s="7" t="s">
        <v>88</v>
      </c>
      <c r="L2" s="9" t="n">
        <v>244231</v>
      </c>
      <c r="M2" s="9"/>
      <c r="N2" s="9"/>
      <c r="O2" s="7" t="s">
        <v>41</v>
      </c>
      <c r="P2" s="7" t="s">
        <v>89</v>
      </c>
      <c r="Q2" s="7" t="s">
        <v>90</v>
      </c>
      <c r="R2" s="7" t="s">
        <v>91</v>
      </c>
      <c r="S2" s="7" t="s">
        <v>92</v>
      </c>
      <c r="T2" s="7" t="s">
        <v>93</v>
      </c>
      <c r="U2" s="10"/>
      <c r="V2" s="7"/>
      <c r="W2" s="7"/>
      <c r="X2" s="7"/>
      <c r="Y2" s="7"/>
      <c r="Z2" s="7"/>
      <c r="AA2" s="7"/>
      <c r="AB2" s="8"/>
      <c r="AC2" s="6"/>
      <c r="AD2" s="6"/>
      <c r="AE2" s="6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8"/>
      <c r="AR2" s="9" t="str">
        <f aca="false">IFERROR(VLOOKUP($X2,Lotes!$A:$E,5,FALSE())*$U2,"")</f>
        <v/>
      </c>
      <c r="AS2" s="9" t="n">
        <f aca="false">IF($L2="","",$L2*2.6)</f>
        <v>635000.6</v>
      </c>
      <c r="AT2" s="9"/>
      <c r="AU2" s="9" t="n">
        <v>635000</v>
      </c>
      <c r="AV2" s="9" t="n">
        <v>635000</v>
      </c>
      <c r="AW2" s="9" t="n">
        <v>0</v>
      </c>
      <c r="AX2" s="7" t="s">
        <v>89</v>
      </c>
      <c r="AY2" s="7" t="s">
        <v>94</v>
      </c>
      <c r="AZ2" s="7"/>
      <c r="BA2" s="7" t="s">
        <v>95</v>
      </c>
      <c r="BB2" s="7" t="s">
        <v>96</v>
      </c>
      <c r="BC2" s="11" t="s">
        <v>97</v>
      </c>
      <c r="BD2" s="7" t="s">
        <v>98</v>
      </c>
      <c r="BE2" s="11" t="s">
        <v>99</v>
      </c>
    </row>
    <row r="3" customFormat="false" ht="23.85" hidden="false" customHeight="false" outlineLevel="0" collapsed="false">
      <c r="A3" s="6" t="n">
        <v>2</v>
      </c>
      <c r="B3" s="7" t="s">
        <v>83</v>
      </c>
      <c r="C3" s="7" t="s">
        <v>100</v>
      </c>
      <c r="D3" s="8" t="n">
        <v>0.43</v>
      </c>
      <c r="E3" s="7" t="s">
        <v>85</v>
      </c>
      <c r="F3" s="7" t="s">
        <v>86</v>
      </c>
      <c r="G3" s="6" t="n">
        <v>2</v>
      </c>
      <c r="H3" s="7" t="s">
        <v>101</v>
      </c>
      <c r="I3" s="7"/>
      <c r="J3" s="7"/>
      <c r="K3" s="7" t="s">
        <v>88</v>
      </c>
      <c r="L3" s="9" t="n">
        <v>71154</v>
      </c>
      <c r="M3" s="9"/>
      <c r="N3" s="9"/>
      <c r="O3" s="7" t="s">
        <v>41</v>
      </c>
      <c r="P3" s="7" t="s">
        <v>102</v>
      </c>
      <c r="Q3" s="7" t="s">
        <v>90</v>
      </c>
      <c r="R3" s="7" t="s">
        <v>103</v>
      </c>
      <c r="S3" s="7" t="s">
        <v>92</v>
      </c>
      <c r="T3" s="7" t="s">
        <v>93</v>
      </c>
      <c r="U3" s="10"/>
      <c r="V3" s="7"/>
      <c r="W3" s="7"/>
      <c r="X3" s="7"/>
      <c r="Y3" s="7"/>
      <c r="Z3" s="7"/>
      <c r="AA3" s="7"/>
      <c r="AB3" s="8"/>
      <c r="AC3" s="6"/>
      <c r="AD3" s="6"/>
      <c r="AE3" s="6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8"/>
      <c r="AR3" s="9" t="str">
        <f aca="false">IFERROR(VLOOKUP($X3,Lotes!$A:$E,5,FALSE())*$U3,"")</f>
        <v/>
      </c>
      <c r="AS3" s="9" t="n">
        <f aca="false">IF($L3="","",$L3*2.6)</f>
        <v>185000.4</v>
      </c>
      <c r="AT3" s="9"/>
      <c r="AU3" s="9" t="n">
        <v>185000</v>
      </c>
      <c r="AV3" s="9" t="n">
        <v>185000</v>
      </c>
      <c r="AW3" s="9" t="n">
        <v>0</v>
      </c>
      <c r="AX3" s="7" t="s">
        <v>102</v>
      </c>
      <c r="AY3" s="7" t="s">
        <v>94</v>
      </c>
      <c r="AZ3" s="7"/>
      <c r="BA3" s="7" t="s">
        <v>104</v>
      </c>
      <c r="BB3" s="7" t="s">
        <v>105</v>
      </c>
      <c r="BC3" s="11" t="s">
        <v>106</v>
      </c>
      <c r="BD3" s="7" t="s">
        <v>98</v>
      </c>
      <c r="BE3" s="11" t="s">
        <v>99</v>
      </c>
    </row>
    <row r="4" customFormat="false" ht="23.85" hidden="false" customHeight="false" outlineLevel="0" collapsed="false">
      <c r="A4" s="6" t="n">
        <v>3</v>
      </c>
      <c r="B4" s="7" t="s">
        <v>83</v>
      </c>
      <c r="C4" s="7" t="s">
        <v>107</v>
      </c>
      <c r="D4" s="8" t="n">
        <v>1.36</v>
      </c>
      <c r="E4" s="7" t="s">
        <v>85</v>
      </c>
      <c r="F4" s="7" t="s">
        <v>86</v>
      </c>
      <c r="G4" s="6" t="n">
        <v>2</v>
      </c>
      <c r="H4" s="7" t="s">
        <v>87</v>
      </c>
      <c r="I4" s="7"/>
      <c r="J4" s="7"/>
      <c r="K4" s="7" t="s">
        <v>88</v>
      </c>
      <c r="L4" s="9" t="n">
        <v>113077</v>
      </c>
      <c r="M4" s="9"/>
      <c r="N4" s="9"/>
      <c r="O4" s="7" t="s">
        <v>108</v>
      </c>
      <c r="P4" s="7" t="s">
        <v>109</v>
      </c>
      <c r="Q4" s="7" t="s">
        <v>90</v>
      </c>
      <c r="R4" s="7" t="s">
        <v>110</v>
      </c>
      <c r="S4" s="7" t="s">
        <v>92</v>
      </c>
      <c r="T4" s="7" t="s">
        <v>111</v>
      </c>
      <c r="U4" s="10"/>
      <c r="V4" s="7"/>
      <c r="W4" s="7"/>
      <c r="X4" s="7"/>
      <c r="Y4" s="7"/>
      <c r="Z4" s="7"/>
      <c r="AA4" s="7"/>
      <c r="AB4" s="8"/>
      <c r="AC4" s="6"/>
      <c r="AD4" s="6"/>
      <c r="AE4" s="6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8"/>
      <c r="AR4" s="9" t="str">
        <f aca="false">IFERROR(VLOOKUP($X4,Lotes!$A:$E,5,FALSE())*$U4,"")</f>
        <v/>
      </c>
      <c r="AS4" s="9" t="n">
        <f aca="false">IF($L4="","",$L4*2.6)</f>
        <v>294000.2</v>
      </c>
      <c r="AT4" s="9"/>
      <c r="AU4" s="9" t="n">
        <v>294000</v>
      </c>
      <c r="AV4" s="9" t="n">
        <v>294000</v>
      </c>
      <c r="AW4" s="9" t="n">
        <v>294000</v>
      </c>
      <c r="AX4" s="7" t="s">
        <v>109</v>
      </c>
      <c r="AY4" s="7" t="s">
        <v>112</v>
      </c>
      <c r="AZ4" s="7"/>
      <c r="BA4" s="7" t="s">
        <v>113</v>
      </c>
      <c r="BB4" s="7" t="s">
        <v>114</v>
      </c>
      <c r="BC4" s="11" t="s">
        <v>115</v>
      </c>
      <c r="BD4" s="7" t="s">
        <v>98</v>
      </c>
      <c r="BE4" s="11" t="s">
        <v>99</v>
      </c>
    </row>
    <row r="5" customFormat="false" ht="23.85" hidden="false" customHeight="false" outlineLevel="0" collapsed="false">
      <c r="A5" s="6" t="n">
        <v>4</v>
      </c>
      <c r="B5" s="7" t="s">
        <v>83</v>
      </c>
      <c r="C5" s="7" t="s">
        <v>116</v>
      </c>
      <c r="D5" s="8" t="n">
        <v>1.56</v>
      </c>
      <c r="E5" s="7" t="s">
        <v>85</v>
      </c>
      <c r="F5" s="7" t="s">
        <v>86</v>
      </c>
      <c r="G5" s="6" t="n">
        <v>2</v>
      </c>
      <c r="H5" s="7" t="s">
        <v>87</v>
      </c>
      <c r="I5" s="7"/>
      <c r="J5" s="7"/>
      <c r="K5" s="7" t="s">
        <v>88</v>
      </c>
      <c r="L5" s="9" t="n">
        <v>259231</v>
      </c>
      <c r="M5" s="9"/>
      <c r="N5" s="9"/>
      <c r="O5" s="7" t="s">
        <v>41</v>
      </c>
      <c r="P5" s="7" t="s">
        <v>117</v>
      </c>
      <c r="Q5" s="7" t="s">
        <v>90</v>
      </c>
      <c r="R5" s="7" t="s">
        <v>118</v>
      </c>
      <c r="S5" s="7" t="s">
        <v>92</v>
      </c>
      <c r="T5" s="7" t="s">
        <v>93</v>
      </c>
      <c r="U5" s="10"/>
      <c r="V5" s="7"/>
      <c r="W5" s="7"/>
      <c r="X5" s="7"/>
      <c r="Y5" s="7"/>
      <c r="Z5" s="7"/>
      <c r="AA5" s="7"/>
      <c r="AB5" s="8"/>
      <c r="AC5" s="6"/>
      <c r="AD5" s="6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8"/>
      <c r="AR5" s="9" t="str">
        <f aca="false">IFERROR(VLOOKUP($X5,Lotes!$A:$E,5,FALSE())*$U5,"")</f>
        <v/>
      </c>
      <c r="AS5" s="9" t="n">
        <f aca="false">IF($L5="","",$L5*2.6)</f>
        <v>674000.6</v>
      </c>
      <c r="AT5" s="9"/>
      <c r="AU5" s="9" t="n">
        <v>674000</v>
      </c>
      <c r="AV5" s="9" t="n">
        <v>606600</v>
      </c>
      <c r="AW5" s="9" t="n">
        <v>0</v>
      </c>
      <c r="AX5" s="7" t="s">
        <v>117</v>
      </c>
      <c r="AY5" s="7" t="s">
        <v>94</v>
      </c>
      <c r="AZ5" s="7"/>
      <c r="BA5" s="7" t="s">
        <v>119</v>
      </c>
      <c r="BB5" s="7" t="s">
        <v>120</v>
      </c>
      <c r="BC5" s="11" t="s">
        <v>121</v>
      </c>
      <c r="BD5" s="7" t="s">
        <v>98</v>
      </c>
      <c r="BE5" s="11" t="s">
        <v>99</v>
      </c>
    </row>
    <row r="6" customFormat="false" ht="68.65" hidden="false" customHeight="false" outlineLevel="0" collapsed="false">
      <c r="A6" s="6" t="n">
        <v>5</v>
      </c>
      <c r="B6" s="7" t="s">
        <v>83</v>
      </c>
      <c r="C6" s="7" t="s">
        <v>122</v>
      </c>
      <c r="D6" s="8" t="n">
        <v>1.26</v>
      </c>
      <c r="E6" s="7" t="s">
        <v>85</v>
      </c>
      <c r="F6" s="7" t="s">
        <v>123</v>
      </c>
      <c r="G6" s="6" t="n">
        <v>2</v>
      </c>
      <c r="H6" s="7" t="s">
        <v>124</v>
      </c>
      <c r="I6" s="7"/>
      <c r="J6" s="7"/>
      <c r="K6" s="7" t="s">
        <v>88</v>
      </c>
      <c r="L6" s="9" t="n">
        <v>191923</v>
      </c>
      <c r="M6" s="9"/>
      <c r="N6" s="9"/>
      <c r="O6" s="7" t="s">
        <v>41</v>
      </c>
      <c r="P6" s="7" t="s">
        <v>125</v>
      </c>
      <c r="Q6" s="7" t="s">
        <v>90</v>
      </c>
      <c r="R6" s="7" t="s">
        <v>126</v>
      </c>
      <c r="S6" s="7" t="s">
        <v>92</v>
      </c>
      <c r="T6" s="7" t="s">
        <v>93</v>
      </c>
      <c r="U6" s="10"/>
      <c r="V6" s="7"/>
      <c r="W6" s="7"/>
      <c r="X6" s="7"/>
      <c r="Y6" s="7"/>
      <c r="Z6" s="7"/>
      <c r="AA6" s="7"/>
      <c r="AB6" s="8"/>
      <c r="AC6" s="6"/>
      <c r="AD6" s="6"/>
      <c r="AE6" s="6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8"/>
      <c r="AR6" s="9" t="str">
        <f aca="false">IFERROR(VLOOKUP($X6,Lotes!$A:$E,5,FALSE())*$U6,"")</f>
        <v/>
      </c>
      <c r="AS6" s="9" t="n">
        <f aca="false">IF($L6="","",$L6*2.6)</f>
        <v>498999.8</v>
      </c>
      <c r="AT6" s="9"/>
      <c r="AU6" s="9" t="n">
        <v>499000</v>
      </c>
      <c r="AV6" s="9" t="n">
        <v>499000</v>
      </c>
      <c r="AW6" s="9" t="n">
        <v>0</v>
      </c>
      <c r="AX6" s="7" t="s">
        <v>127</v>
      </c>
      <c r="AY6" s="7" t="s">
        <v>94</v>
      </c>
      <c r="AZ6" s="7"/>
      <c r="BA6" s="7" t="s">
        <v>128</v>
      </c>
      <c r="BB6" s="7" t="s">
        <v>129</v>
      </c>
      <c r="BC6" s="11" t="s">
        <v>130</v>
      </c>
      <c r="BD6" s="7" t="s">
        <v>98</v>
      </c>
      <c r="BE6" s="11" t="s">
        <v>131</v>
      </c>
    </row>
    <row r="7" customFormat="false" ht="23.85" hidden="false" customHeight="false" outlineLevel="0" collapsed="false">
      <c r="A7" s="6" t="n">
        <v>6</v>
      </c>
      <c r="B7" s="7" t="s">
        <v>83</v>
      </c>
      <c r="C7" s="7" t="s">
        <v>132</v>
      </c>
      <c r="D7" s="8" t="n">
        <v>1.23</v>
      </c>
      <c r="E7" s="7" t="s">
        <v>85</v>
      </c>
      <c r="F7" s="7" t="s">
        <v>123</v>
      </c>
      <c r="G7" s="6" t="n">
        <v>1</v>
      </c>
      <c r="H7" s="7" t="s">
        <v>124</v>
      </c>
      <c r="I7" s="7"/>
      <c r="J7" s="7"/>
      <c r="K7" s="7" t="s">
        <v>88</v>
      </c>
      <c r="L7" s="9" t="n">
        <v>170385</v>
      </c>
      <c r="M7" s="9"/>
      <c r="N7" s="9"/>
      <c r="O7" s="7" t="s">
        <v>41</v>
      </c>
      <c r="P7" s="7" t="s">
        <v>102</v>
      </c>
      <c r="Q7" s="7" t="s">
        <v>90</v>
      </c>
      <c r="R7" s="7" t="s">
        <v>133</v>
      </c>
      <c r="S7" s="7" t="s">
        <v>92</v>
      </c>
      <c r="T7" s="7" t="s">
        <v>93</v>
      </c>
      <c r="U7" s="10"/>
      <c r="V7" s="7"/>
      <c r="W7" s="7"/>
      <c r="X7" s="7"/>
      <c r="Y7" s="7"/>
      <c r="Z7" s="7"/>
      <c r="AA7" s="7"/>
      <c r="AB7" s="8"/>
      <c r="AC7" s="6"/>
      <c r="AD7" s="6"/>
      <c r="AE7" s="6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8"/>
      <c r="AR7" s="9" t="str">
        <f aca="false">IFERROR(VLOOKUP($X7,Lotes!$A:$E,5,FALSE())*$U7,"")</f>
        <v/>
      </c>
      <c r="AS7" s="9" t="n">
        <f aca="false">IF($L7="","",$L7*2.6)</f>
        <v>443001</v>
      </c>
      <c r="AT7" s="9"/>
      <c r="AU7" s="9" t="n">
        <v>443000</v>
      </c>
      <c r="AV7" s="9" t="n">
        <v>443000</v>
      </c>
      <c r="AW7" s="9" t="n">
        <v>0</v>
      </c>
      <c r="AX7" s="7" t="s">
        <v>102</v>
      </c>
      <c r="AY7" s="7" t="s">
        <v>94</v>
      </c>
      <c r="AZ7" s="7"/>
      <c r="BA7" s="7" t="s">
        <v>134</v>
      </c>
      <c r="BB7" s="7" t="s">
        <v>135</v>
      </c>
      <c r="BC7" s="11" t="s">
        <v>136</v>
      </c>
      <c r="BD7" s="7" t="s">
        <v>98</v>
      </c>
      <c r="BE7" s="11" t="s">
        <v>99</v>
      </c>
    </row>
    <row r="8" customFormat="false" ht="68.65" hidden="false" customHeight="false" outlineLevel="0" collapsed="false">
      <c r="A8" s="6" t="n">
        <v>7</v>
      </c>
      <c r="B8" s="7" t="s">
        <v>83</v>
      </c>
      <c r="C8" s="7" t="s">
        <v>137</v>
      </c>
      <c r="D8" s="8" t="n">
        <v>1.43</v>
      </c>
      <c r="E8" s="7" t="s">
        <v>85</v>
      </c>
      <c r="F8" s="7" t="s">
        <v>123</v>
      </c>
      <c r="G8" s="6" t="n">
        <v>3</v>
      </c>
      <c r="H8" s="7" t="s">
        <v>124</v>
      </c>
      <c r="I8" s="7"/>
      <c r="J8" s="7"/>
      <c r="K8" s="7" t="s">
        <v>88</v>
      </c>
      <c r="L8" s="9" t="n">
        <v>218077</v>
      </c>
      <c r="M8" s="9"/>
      <c r="N8" s="9"/>
      <c r="O8" s="7" t="s">
        <v>41</v>
      </c>
      <c r="P8" s="7" t="s">
        <v>125</v>
      </c>
      <c r="Q8" s="7" t="s">
        <v>90</v>
      </c>
      <c r="R8" s="7" t="s">
        <v>138</v>
      </c>
      <c r="S8" s="7" t="s">
        <v>92</v>
      </c>
      <c r="T8" s="7" t="s">
        <v>93</v>
      </c>
      <c r="U8" s="10"/>
      <c r="V8" s="7"/>
      <c r="W8" s="7"/>
      <c r="X8" s="7"/>
      <c r="Y8" s="7"/>
      <c r="Z8" s="7"/>
      <c r="AA8" s="7"/>
      <c r="AB8" s="8"/>
      <c r="AC8" s="6"/>
      <c r="AD8" s="6"/>
      <c r="AE8" s="6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8"/>
      <c r="AR8" s="9" t="str">
        <f aca="false">IFERROR(VLOOKUP($X8,Lotes!$A:$E,5,FALSE())*$U8,"")</f>
        <v/>
      </c>
      <c r="AS8" s="9" t="n">
        <f aca="false">IF($L8="","",$L8*2.6)</f>
        <v>567000.2</v>
      </c>
      <c r="AT8" s="9"/>
      <c r="AU8" s="9" t="n">
        <v>567000</v>
      </c>
      <c r="AV8" s="9" t="n">
        <v>567000</v>
      </c>
      <c r="AW8" s="9" t="n">
        <v>0</v>
      </c>
      <c r="AX8" s="7" t="s">
        <v>127</v>
      </c>
      <c r="AY8" s="7" t="s">
        <v>94</v>
      </c>
      <c r="AZ8" s="7"/>
      <c r="BA8" s="7" t="s">
        <v>139</v>
      </c>
      <c r="BB8" s="7" t="s">
        <v>140</v>
      </c>
      <c r="BC8" s="11" t="s">
        <v>141</v>
      </c>
      <c r="BD8" s="7" t="s">
        <v>98</v>
      </c>
      <c r="BE8" s="11" t="s">
        <v>131</v>
      </c>
    </row>
    <row r="9" customFormat="false" ht="23.85" hidden="false" customHeight="false" outlineLevel="0" collapsed="false">
      <c r="A9" s="6" t="n">
        <v>8</v>
      </c>
      <c r="B9" s="7" t="s">
        <v>83</v>
      </c>
      <c r="C9" s="7" t="s">
        <v>142</v>
      </c>
      <c r="D9" s="8" t="n">
        <v>0.83</v>
      </c>
      <c r="E9" s="7" t="s">
        <v>85</v>
      </c>
      <c r="F9" s="7" t="s">
        <v>123</v>
      </c>
      <c r="G9" s="6" t="n">
        <v>1</v>
      </c>
      <c r="H9" s="7" t="s">
        <v>124</v>
      </c>
      <c r="I9" s="7"/>
      <c r="J9" s="7"/>
      <c r="K9" s="7" t="s">
        <v>88</v>
      </c>
      <c r="L9" s="9" t="n">
        <v>115000</v>
      </c>
      <c r="M9" s="9"/>
      <c r="N9" s="9"/>
      <c r="O9" s="7" t="s">
        <v>41</v>
      </c>
      <c r="P9" s="7" t="s">
        <v>89</v>
      </c>
      <c r="Q9" s="7" t="s">
        <v>90</v>
      </c>
      <c r="R9" s="7" t="s">
        <v>143</v>
      </c>
      <c r="S9" s="7" t="s">
        <v>92</v>
      </c>
      <c r="T9" s="7" t="s">
        <v>93</v>
      </c>
      <c r="U9" s="10"/>
      <c r="V9" s="7"/>
      <c r="W9" s="7"/>
      <c r="X9" s="7"/>
      <c r="Y9" s="7"/>
      <c r="Z9" s="7"/>
      <c r="AA9" s="7"/>
      <c r="AB9" s="8"/>
      <c r="AC9" s="6"/>
      <c r="AD9" s="6"/>
      <c r="AE9" s="6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8"/>
      <c r="AR9" s="9" t="str">
        <f aca="false">IFERROR(VLOOKUP($X9,Lotes!$A:$E,5,FALSE())*$U9,"")</f>
        <v/>
      </c>
      <c r="AS9" s="9" t="n">
        <f aca="false">IF($L9="","",$L9*2.6)</f>
        <v>299000</v>
      </c>
      <c r="AT9" s="9"/>
      <c r="AU9" s="9" t="n">
        <v>299000</v>
      </c>
      <c r="AV9" s="9" t="n">
        <v>299000</v>
      </c>
      <c r="AW9" s="9" t="n">
        <v>0</v>
      </c>
      <c r="AX9" s="7" t="s">
        <v>89</v>
      </c>
      <c r="AY9" s="7" t="s">
        <v>94</v>
      </c>
      <c r="AZ9" s="7"/>
      <c r="BA9" s="7" t="s">
        <v>144</v>
      </c>
      <c r="BB9" s="7" t="s">
        <v>145</v>
      </c>
      <c r="BC9" s="11" t="s">
        <v>146</v>
      </c>
      <c r="BD9" s="7" t="s">
        <v>98</v>
      </c>
      <c r="BE9" s="11" t="s">
        <v>99</v>
      </c>
    </row>
    <row r="10" customFormat="false" ht="23.85" hidden="false" customHeight="false" outlineLevel="0" collapsed="false">
      <c r="A10" s="6" t="n">
        <v>9</v>
      </c>
      <c r="B10" s="7" t="s">
        <v>83</v>
      </c>
      <c r="C10" s="7" t="s">
        <v>147</v>
      </c>
      <c r="D10" s="8" t="n">
        <v>0.66</v>
      </c>
      <c r="E10" s="7" t="s">
        <v>85</v>
      </c>
      <c r="F10" s="7" t="s">
        <v>148</v>
      </c>
      <c r="G10" s="6" t="n">
        <v>1</v>
      </c>
      <c r="H10" s="7" t="s">
        <v>87</v>
      </c>
      <c r="I10" s="7"/>
      <c r="J10" s="7"/>
      <c r="K10" s="7" t="s">
        <v>88</v>
      </c>
      <c r="L10" s="9" t="n">
        <v>91538</v>
      </c>
      <c r="M10" s="9"/>
      <c r="N10" s="9"/>
      <c r="O10" s="7" t="s">
        <v>108</v>
      </c>
      <c r="P10" s="7" t="s">
        <v>109</v>
      </c>
      <c r="Q10" s="7" t="s">
        <v>90</v>
      </c>
      <c r="R10" s="7" t="s">
        <v>149</v>
      </c>
      <c r="S10" s="7" t="s">
        <v>92</v>
      </c>
      <c r="T10" s="7" t="s">
        <v>93</v>
      </c>
      <c r="U10" s="10"/>
      <c r="V10" s="7"/>
      <c r="W10" s="7"/>
      <c r="X10" s="7"/>
      <c r="Y10" s="7"/>
      <c r="Z10" s="7"/>
      <c r="AA10" s="7"/>
      <c r="AB10" s="8"/>
      <c r="AC10" s="6"/>
      <c r="AD10" s="6"/>
      <c r="AE10" s="6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8"/>
      <c r="AR10" s="9" t="str">
        <f aca="false">IFERROR(VLOOKUP($X10,Lotes!$A:$E,5,FALSE())*$U10,"")</f>
        <v/>
      </c>
      <c r="AS10" s="9" t="n">
        <f aca="false">IF($L10="","",$L10*2.6)</f>
        <v>237998.8</v>
      </c>
      <c r="AT10" s="9"/>
      <c r="AU10" s="9" t="n">
        <v>238000</v>
      </c>
      <c r="AV10" s="9" t="n">
        <v>238000</v>
      </c>
      <c r="AW10" s="9" t="n">
        <v>0</v>
      </c>
      <c r="AX10" s="7" t="s">
        <v>109</v>
      </c>
      <c r="AY10" s="7" t="s">
        <v>94</v>
      </c>
      <c r="AZ10" s="7"/>
      <c r="BA10" s="7" t="s">
        <v>150</v>
      </c>
      <c r="BB10" s="7" t="s">
        <v>151</v>
      </c>
      <c r="BC10" s="11" t="s">
        <v>152</v>
      </c>
      <c r="BD10" s="7" t="s">
        <v>98</v>
      </c>
      <c r="BE10" s="11" t="s">
        <v>99</v>
      </c>
    </row>
    <row r="11" customFormat="false" ht="68.65" hidden="false" customHeight="false" outlineLevel="0" collapsed="false">
      <c r="A11" s="6" t="n">
        <v>10</v>
      </c>
      <c r="B11" s="7" t="s">
        <v>83</v>
      </c>
      <c r="C11" s="7" t="s">
        <v>153</v>
      </c>
      <c r="D11" s="8" t="n">
        <v>0.99</v>
      </c>
      <c r="E11" s="7" t="s">
        <v>85</v>
      </c>
      <c r="F11" s="7" t="s">
        <v>148</v>
      </c>
      <c r="G11" s="6" t="n">
        <v>1</v>
      </c>
      <c r="H11" s="7" t="s">
        <v>87</v>
      </c>
      <c r="I11" s="7"/>
      <c r="J11" s="7"/>
      <c r="K11" s="7" t="s">
        <v>88</v>
      </c>
      <c r="L11" s="9" t="n">
        <v>89500</v>
      </c>
      <c r="M11" s="9"/>
      <c r="N11" s="9"/>
      <c r="O11" s="7" t="s">
        <v>154</v>
      </c>
      <c r="P11" s="7" t="s">
        <v>89</v>
      </c>
      <c r="Q11" s="7" t="s">
        <v>155</v>
      </c>
      <c r="R11" s="7" t="s">
        <v>156</v>
      </c>
      <c r="S11" s="7" t="s">
        <v>92</v>
      </c>
      <c r="T11" s="7"/>
      <c r="U11" s="10"/>
      <c r="V11" s="7"/>
      <c r="W11" s="7"/>
      <c r="X11" s="7" t="s">
        <v>157</v>
      </c>
      <c r="Y11" s="7"/>
      <c r="Z11" s="7"/>
      <c r="AA11" s="7"/>
      <c r="AB11" s="8"/>
      <c r="AC11" s="6"/>
      <c r="AD11" s="6"/>
      <c r="AE11" s="6"/>
      <c r="AF11" s="7" t="s">
        <v>158</v>
      </c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8"/>
      <c r="AR11" s="9" t="n">
        <f aca="false">IFERROR(VLOOKUP($X11,Lotes!$A:$E,5,FALSE())*$U11,"")</f>
        <v>0</v>
      </c>
      <c r="AS11" s="9" t="n">
        <f aca="false">IF($L11="","",$L11*2.6)</f>
        <v>232700</v>
      </c>
      <c r="AT11" s="9"/>
      <c r="AU11" s="9" t="n">
        <v>358000</v>
      </c>
      <c r="AV11" s="9" t="n">
        <v>358000</v>
      </c>
      <c r="AW11" s="9" t="n">
        <v>358000</v>
      </c>
      <c r="AX11" s="7" t="s">
        <v>159</v>
      </c>
      <c r="AY11" s="7" t="s">
        <v>160</v>
      </c>
      <c r="AZ11" s="7"/>
      <c r="BA11" s="7" t="s">
        <v>161</v>
      </c>
      <c r="BB11" s="7" t="s">
        <v>162</v>
      </c>
      <c r="BC11" s="11" t="s">
        <v>163</v>
      </c>
      <c r="BD11" s="7" t="s">
        <v>164</v>
      </c>
      <c r="BE11" s="11" t="s">
        <v>165</v>
      </c>
    </row>
    <row r="12" customFormat="false" ht="23.85" hidden="false" customHeight="false" outlineLevel="0" collapsed="false">
      <c r="A12" s="6" t="n">
        <v>11</v>
      </c>
      <c r="B12" s="7" t="s">
        <v>83</v>
      </c>
      <c r="C12" s="7" t="s">
        <v>166</v>
      </c>
      <c r="D12" s="8" t="n">
        <v>0.81</v>
      </c>
      <c r="E12" s="7" t="s">
        <v>85</v>
      </c>
      <c r="F12" s="7" t="s">
        <v>148</v>
      </c>
      <c r="G12" s="6" t="n">
        <v>1</v>
      </c>
      <c r="H12" s="7" t="s">
        <v>101</v>
      </c>
      <c r="I12" s="7"/>
      <c r="J12" s="7"/>
      <c r="K12" s="7" t="s">
        <v>88</v>
      </c>
      <c r="L12" s="9" t="n">
        <v>113077</v>
      </c>
      <c r="M12" s="9"/>
      <c r="N12" s="9"/>
      <c r="O12" s="7" t="s">
        <v>41</v>
      </c>
      <c r="P12" s="7" t="s">
        <v>117</v>
      </c>
      <c r="Q12" s="7" t="s">
        <v>90</v>
      </c>
      <c r="R12" s="7" t="s">
        <v>167</v>
      </c>
      <c r="S12" s="7" t="s">
        <v>92</v>
      </c>
      <c r="T12" s="7" t="s">
        <v>93</v>
      </c>
      <c r="U12" s="10"/>
      <c r="V12" s="7"/>
      <c r="W12" s="7"/>
      <c r="X12" s="7"/>
      <c r="Y12" s="7"/>
      <c r="Z12" s="7"/>
      <c r="AA12" s="7"/>
      <c r="AB12" s="8"/>
      <c r="AC12" s="6"/>
      <c r="AD12" s="6"/>
      <c r="AE12" s="6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8"/>
      <c r="AR12" s="9" t="str">
        <f aca="false">IFERROR(VLOOKUP($X12,Lotes!$A:$E,5,FALSE())*$U12,"")</f>
        <v/>
      </c>
      <c r="AS12" s="9" t="n">
        <f aca="false">IF($L12="","",$L12*2.6)</f>
        <v>294000.2</v>
      </c>
      <c r="AT12" s="9"/>
      <c r="AU12" s="9" t="n">
        <v>294000</v>
      </c>
      <c r="AV12" s="9" t="n">
        <v>264600</v>
      </c>
      <c r="AW12" s="9" t="n">
        <v>0</v>
      </c>
      <c r="AX12" s="7" t="s">
        <v>117</v>
      </c>
      <c r="AY12" s="7" t="s">
        <v>94</v>
      </c>
      <c r="AZ12" s="7"/>
      <c r="BA12" s="7" t="s">
        <v>168</v>
      </c>
      <c r="BB12" s="7" t="s">
        <v>169</v>
      </c>
      <c r="BC12" s="11" t="s">
        <v>170</v>
      </c>
      <c r="BD12" s="7" t="s">
        <v>98</v>
      </c>
      <c r="BE12" s="11" t="s">
        <v>99</v>
      </c>
    </row>
    <row r="13" customFormat="false" ht="23.85" hidden="false" customHeight="false" outlineLevel="0" collapsed="false">
      <c r="A13" s="6" t="n">
        <v>12</v>
      </c>
      <c r="B13" s="7" t="s">
        <v>83</v>
      </c>
      <c r="C13" s="7" t="s">
        <v>171</v>
      </c>
      <c r="D13" s="8" t="n">
        <v>0.46</v>
      </c>
      <c r="E13" s="7" t="s">
        <v>172</v>
      </c>
      <c r="F13" s="7" t="s">
        <v>123</v>
      </c>
      <c r="G13" s="6" t="n">
        <v>1</v>
      </c>
      <c r="H13" s="7" t="s">
        <v>101</v>
      </c>
      <c r="I13" s="7"/>
      <c r="J13" s="7"/>
      <c r="K13" s="7" t="s">
        <v>88</v>
      </c>
      <c r="L13" s="9" t="n">
        <v>65385</v>
      </c>
      <c r="M13" s="9"/>
      <c r="N13" s="9"/>
      <c r="O13" s="7" t="s">
        <v>41</v>
      </c>
      <c r="P13" s="7" t="s">
        <v>117</v>
      </c>
      <c r="Q13" s="7" t="s">
        <v>90</v>
      </c>
      <c r="R13" s="7" t="s">
        <v>173</v>
      </c>
      <c r="S13" s="7" t="s">
        <v>92</v>
      </c>
      <c r="T13" s="7" t="s">
        <v>93</v>
      </c>
      <c r="U13" s="10"/>
      <c r="V13" s="7"/>
      <c r="W13" s="7"/>
      <c r="X13" s="7"/>
      <c r="Y13" s="7"/>
      <c r="Z13" s="7"/>
      <c r="AA13" s="7"/>
      <c r="AB13" s="8"/>
      <c r="AC13" s="6"/>
      <c r="AD13" s="6"/>
      <c r="AE13" s="6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8"/>
      <c r="AR13" s="9" t="str">
        <f aca="false">IFERROR(VLOOKUP($X13,Lotes!$A:$E,5,FALSE())*$U13,"")</f>
        <v/>
      </c>
      <c r="AS13" s="9" t="n">
        <f aca="false">IF($L13="","",$L13*2.6)</f>
        <v>170001</v>
      </c>
      <c r="AT13" s="9"/>
      <c r="AU13" s="9" t="n">
        <v>170000</v>
      </c>
      <c r="AV13" s="9" t="n">
        <v>125800</v>
      </c>
      <c r="AW13" s="9" t="n">
        <v>0</v>
      </c>
      <c r="AX13" s="7" t="s">
        <v>117</v>
      </c>
      <c r="AY13" s="7" t="s">
        <v>94</v>
      </c>
      <c r="AZ13" s="7"/>
      <c r="BA13" s="7" t="s">
        <v>174</v>
      </c>
      <c r="BB13" s="7" t="s">
        <v>175</v>
      </c>
      <c r="BC13" s="11" t="s">
        <v>176</v>
      </c>
      <c r="BD13" s="7" t="s">
        <v>98</v>
      </c>
      <c r="BE13" s="11" t="s">
        <v>99</v>
      </c>
    </row>
    <row r="14" customFormat="false" ht="23.85" hidden="false" customHeight="false" outlineLevel="0" collapsed="false">
      <c r="A14" s="6" t="n">
        <v>13</v>
      </c>
      <c r="B14" s="7" t="s">
        <v>83</v>
      </c>
      <c r="C14" s="7" t="s">
        <v>177</v>
      </c>
      <c r="D14" s="8" t="n">
        <v>0.41</v>
      </c>
      <c r="E14" s="7" t="s">
        <v>172</v>
      </c>
      <c r="F14" s="7" t="s">
        <v>86</v>
      </c>
      <c r="G14" s="6" t="n">
        <v>1</v>
      </c>
      <c r="H14" s="7" t="s">
        <v>178</v>
      </c>
      <c r="I14" s="7"/>
      <c r="J14" s="7"/>
      <c r="K14" s="7" t="s">
        <v>88</v>
      </c>
      <c r="L14" s="9" t="n">
        <v>63846</v>
      </c>
      <c r="M14" s="9"/>
      <c r="N14" s="9"/>
      <c r="O14" s="7" t="s">
        <v>108</v>
      </c>
      <c r="P14" s="7" t="s">
        <v>109</v>
      </c>
      <c r="Q14" s="7" t="s">
        <v>90</v>
      </c>
      <c r="R14" s="7" t="s">
        <v>179</v>
      </c>
      <c r="S14" s="7" t="s">
        <v>92</v>
      </c>
      <c r="T14" s="7" t="s">
        <v>93</v>
      </c>
      <c r="U14" s="10"/>
      <c r="V14" s="7"/>
      <c r="W14" s="7"/>
      <c r="X14" s="7"/>
      <c r="Y14" s="7"/>
      <c r="Z14" s="7"/>
      <c r="AA14" s="7"/>
      <c r="AB14" s="8"/>
      <c r="AC14" s="6"/>
      <c r="AD14" s="6"/>
      <c r="AE14" s="6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8"/>
      <c r="AR14" s="9" t="str">
        <f aca="false">IFERROR(VLOOKUP($X14,Lotes!$A:$E,5,FALSE())*$U14,"")</f>
        <v/>
      </c>
      <c r="AS14" s="9" t="n">
        <f aca="false">IF($L14="","",$L14*2.6)</f>
        <v>165999.6</v>
      </c>
      <c r="AT14" s="9"/>
      <c r="AU14" s="9" t="n">
        <v>166000</v>
      </c>
      <c r="AV14" s="9" t="n">
        <v>166000</v>
      </c>
      <c r="AW14" s="9" t="n">
        <v>0</v>
      </c>
      <c r="AX14" s="7" t="s">
        <v>109</v>
      </c>
      <c r="AY14" s="7" t="s">
        <v>94</v>
      </c>
      <c r="AZ14" s="7"/>
      <c r="BA14" s="7" t="s">
        <v>180</v>
      </c>
      <c r="BB14" s="7" t="s">
        <v>181</v>
      </c>
      <c r="BC14" s="11" t="s">
        <v>182</v>
      </c>
      <c r="BD14" s="7" t="s">
        <v>98</v>
      </c>
      <c r="BE14" s="11" t="s">
        <v>99</v>
      </c>
    </row>
    <row r="15" customFormat="false" ht="68.65" hidden="false" customHeight="false" outlineLevel="0" collapsed="false">
      <c r="A15" s="6" t="n">
        <v>14</v>
      </c>
      <c r="B15" s="7" t="s">
        <v>83</v>
      </c>
      <c r="C15" s="7" t="s">
        <v>183</v>
      </c>
      <c r="D15" s="8" t="n">
        <v>0.33</v>
      </c>
      <c r="E15" s="7" t="s">
        <v>172</v>
      </c>
      <c r="F15" s="7" t="s">
        <v>86</v>
      </c>
      <c r="G15" s="6" t="n">
        <v>1</v>
      </c>
      <c r="H15" s="7" t="s">
        <v>101</v>
      </c>
      <c r="I15" s="7"/>
      <c r="J15" s="7"/>
      <c r="K15" s="7" t="s">
        <v>88</v>
      </c>
      <c r="L15" s="9" t="n">
        <v>51538</v>
      </c>
      <c r="M15" s="9"/>
      <c r="N15" s="9"/>
      <c r="O15" s="7" t="s">
        <v>41</v>
      </c>
      <c r="P15" s="7" t="s">
        <v>89</v>
      </c>
      <c r="Q15" s="7" t="s">
        <v>90</v>
      </c>
      <c r="R15" s="7" t="s">
        <v>184</v>
      </c>
      <c r="S15" s="7" t="s">
        <v>92</v>
      </c>
      <c r="T15" s="7" t="s">
        <v>93</v>
      </c>
      <c r="U15" s="10"/>
      <c r="V15" s="7"/>
      <c r="W15" s="7"/>
      <c r="X15" s="7"/>
      <c r="Y15" s="7"/>
      <c r="Z15" s="7"/>
      <c r="AA15" s="7"/>
      <c r="AB15" s="8"/>
      <c r="AC15" s="6"/>
      <c r="AD15" s="6"/>
      <c r="AE15" s="6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8"/>
      <c r="AR15" s="9" t="str">
        <f aca="false">IFERROR(VLOOKUP($X15,Lotes!$A:$E,5,FALSE())*$U15,"")</f>
        <v/>
      </c>
      <c r="AS15" s="9" t="n">
        <f aca="false">IF($L15="","",$L15*2.6)</f>
        <v>133998.8</v>
      </c>
      <c r="AT15" s="9"/>
      <c r="AU15" s="9" t="n">
        <v>134000</v>
      </c>
      <c r="AV15" s="9" t="n">
        <v>134000</v>
      </c>
      <c r="AW15" s="9" t="n">
        <v>0</v>
      </c>
      <c r="AX15" s="7" t="s">
        <v>159</v>
      </c>
      <c r="AY15" s="7" t="s">
        <v>94</v>
      </c>
      <c r="AZ15" s="7"/>
      <c r="BA15" s="7" t="s">
        <v>185</v>
      </c>
      <c r="BB15" s="7" t="s">
        <v>186</v>
      </c>
      <c r="BC15" s="11" t="s">
        <v>187</v>
      </c>
      <c r="BD15" s="7" t="s">
        <v>98</v>
      </c>
      <c r="BE15" s="11" t="s">
        <v>188</v>
      </c>
    </row>
    <row r="16" customFormat="false" ht="23.85" hidden="false" customHeight="false" outlineLevel="0" collapsed="false">
      <c r="A16" s="6" t="n">
        <v>15</v>
      </c>
      <c r="B16" s="7" t="s">
        <v>83</v>
      </c>
      <c r="C16" s="7" t="s">
        <v>189</v>
      </c>
      <c r="D16" s="8" t="n">
        <v>0.75</v>
      </c>
      <c r="E16" s="7" t="s">
        <v>172</v>
      </c>
      <c r="F16" s="7" t="s">
        <v>86</v>
      </c>
      <c r="G16" s="6" t="n">
        <v>1</v>
      </c>
      <c r="H16" s="7" t="s">
        <v>124</v>
      </c>
      <c r="I16" s="7"/>
      <c r="J16" s="7"/>
      <c r="K16" s="7" t="s">
        <v>88</v>
      </c>
      <c r="L16" s="9" t="n">
        <v>116538</v>
      </c>
      <c r="M16" s="9"/>
      <c r="N16" s="9"/>
      <c r="O16" s="7" t="s">
        <v>41</v>
      </c>
      <c r="P16" s="7" t="s">
        <v>117</v>
      </c>
      <c r="Q16" s="7" t="s">
        <v>90</v>
      </c>
      <c r="R16" s="7" t="s">
        <v>190</v>
      </c>
      <c r="S16" s="7" t="s">
        <v>92</v>
      </c>
      <c r="T16" s="7" t="s">
        <v>93</v>
      </c>
      <c r="U16" s="10"/>
      <c r="V16" s="7"/>
      <c r="W16" s="7"/>
      <c r="X16" s="7"/>
      <c r="Y16" s="7"/>
      <c r="Z16" s="7"/>
      <c r="AA16" s="7"/>
      <c r="AB16" s="8"/>
      <c r="AC16" s="6"/>
      <c r="AD16" s="6"/>
      <c r="AE16" s="6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8"/>
      <c r="AR16" s="9" t="str">
        <f aca="false">IFERROR(VLOOKUP($X16,Lotes!$A:$E,5,FALSE())*$U16,"")</f>
        <v/>
      </c>
      <c r="AS16" s="9" t="n">
        <f aca="false">IF($L16="","",$L16*2.6)</f>
        <v>302998.8</v>
      </c>
      <c r="AT16" s="9"/>
      <c r="AU16" s="9" t="n">
        <v>303000</v>
      </c>
      <c r="AV16" s="9" t="n">
        <v>224220</v>
      </c>
      <c r="AW16" s="9" t="n">
        <v>0</v>
      </c>
      <c r="AX16" s="7" t="s">
        <v>117</v>
      </c>
      <c r="AY16" s="7" t="s">
        <v>94</v>
      </c>
      <c r="AZ16" s="7"/>
      <c r="BA16" s="7" t="s">
        <v>191</v>
      </c>
      <c r="BB16" s="7" t="s">
        <v>192</v>
      </c>
      <c r="BC16" s="11" t="s">
        <v>193</v>
      </c>
      <c r="BD16" s="7" t="s">
        <v>98</v>
      </c>
      <c r="BE16" s="11" t="s">
        <v>99</v>
      </c>
    </row>
    <row r="17" customFormat="false" ht="23.85" hidden="false" customHeight="false" outlineLevel="0" collapsed="false">
      <c r="A17" s="6" t="n">
        <v>16</v>
      </c>
      <c r="B17" s="7" t="s">
        <v>83</v>
      </c>
      <c r="C17" s="7" t="s">
        <v>194</v>
      </c>
      <c r="D17" s="8" t="n">
        <v>0.55</v>
      </c>
      <c r="E17" s="7" t="s">
        <v>172</v>
      </c>
      <c r="F17" s="7" t="s">
        <v>86</v>
      </c>
      <c r="G17" s="6" t="n">
        <v>1</v>
      </c>
      <c r="H17" s="7" t="s">
        <v>124</v>
      </c>
      <c r="I17" s="7"/>
      <c r="J17" s="7"/>
      <c r="K17" s="7" t="s">
        <v>88</v>
      </c>
      <c r="L17" s="9" t="n">
        <v>85385</v>
      </c>
      <c r="M17" s="9"/>
      <c r="N17" s="9"/>
      <c r="O17" s="7" t="s">
        <v>41</v>
      </c>
      <c r="P17" s="7" t="s">
        <v>117</v>
      </c>
      <c r="Q17" s="7" t="s">
        <v>90</v>
      </c>
      <c r="R17" s="7" t="s">
        <v>195</v>
      </c>
      <c r="S17" s="7" t="s">
        <v>92</v>
      </c>
      <c r="T17" s="7" t="s">
        <v>93</v>
      </c>
      <c r="U17" s="10"/>
      <c r="V17" s="7"/>
      <c r="W17" s="7"/>
      <c r="X17" s="7"/>
      <c r="Y17" s="7"/>
      <c r="Z17" s="7"/>
      <c r="AA17" s="7"/>
      <c r="AB17" s="8"/>
      <c r="AC17" s="6"/>
      <c r="AD17" s="6"/>
      <c r="AE17" s="6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8"/>
      <c r="AR17" s="9" t="str">
        <f aca="false">IFERROR(VLOOKUP($X17,Lotes!$A:$E,5,FALSE())*$U17,"")</f>
        <v/>
      </c>
      <c r="AS17" s="9" t="n">
        <f aca="false">IF($L17="","",$L17*2.6)</f>
        <v>222001</v>
      </c>
      <c r="AT17" s="9"/>
      <c r="AU17" s="9" t="n">
        <v>222000</v>
      </c>
      <c r="AV17" s="9" t="n">
        <v>164280</v>
      </c>
      <c r="AW17" s="9" t="n">
        <v>0</v>
      </c>
      <c r="AX17" s="7" t="s">
        <v>117</v>
      </c>
      <c r="AY17" s="7" t="s">
        <v>94</v>
      </c>
      <c r="AZ17" s="7"/>
      <c r="BA17" s="7" t="s">
        <v>196</v>
      </c>
      <c r="BB17" s="7" t="s">
        <v>197</v>
      </c>
      <c r="BC17" s="11" t="s">
        <v>198</v>
      </c>
      <c r="BD17" s="7" t="s">
        <v>98</v>
      </c>
      <c r="BE17" s="11" t="s">
        <v>99</v>
      </c>
    </row>
    <row r="18" customFormat="false" ht="46.25" hidden="false" customHeight="false" outlineLevel="0" collapsed="false">
      <c r="A18" s="6" t="n">
        <v>17</v>
      </c>
      <c r="B18" s="7" t="s">
        <v>83</v>
      </c>
      <c r="C18" s="7" t="s">
        <v>199</v>
      </c>
      <c r="D18" s="8" t="n">
        <v>0.38</v>
      </c>
      <c r="E18" s="7" t="s">
        <v>172</v>
      </c>
      <c r="F18" s="7" t="s">
        <v>123</v>
      </c>
      <c r="G18" s="6" t="n">
        <v>1</v>
      </c>
      <c r="H18" s="7" t="s">
        <v>200</v>
      </c>
      <c r="I18" s="7"/>
      <c r="J18" s="7"/>
      <c r="K18" s="7" t="s">
        <v>88</v>
      </c>
      <c r="L18" s="9" t="n">
        <v>154000</v>
      </c>
      <c r="M18" s="9"/>
      <c r="N18" s="9"/>
      <c r="O18" s="7" t="s">
        <v>41</v>
      </c>
      <c r="P18" s="7" t="s">
        <v>125</v>
      </c>
      <c r="Q18" s="7" t="s">
        <v>90</v>
      </c>
      <c r="R18" s="7" t="s">
        <v>201</v>
      </c>
      <c r="S18" s="7" t="s">
        <v>92</v>
      </c>
      <c r="T18" s="7" t="s">
        <v>93</v>
      </c>
      <c r="U18" s="10"/>
      <c r="V18" s="7"/>
      <c r="W18" s="7"/>
      <c r="X18" s="7"/>
      <c r="Y18" s="7"/>
      <c r="Z18" s="7"/>
      <c r="AA18" s="7"/>
      <c r="AB18" s="8"/>
      <c r="AC18" s="6"/>
      <c r="AD18" s="6"/>
      <c r="AE18" s="6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8"/>
      <c r="AR18" s="9" t="str">
        <f aca="false">IFERROR(VLOOKUP($X18,Lotes!$A:$E,5,FALSE())*$U18,"")</f>
        <v/>
      </c>
      <c r="AS18" s="9" t="n">
        <f aca="false">IF($L18="","",$L18*2.6)</f>
        <v>400400</v>
      </c>
      <c r="AT18" s="9"/>
      <c r="AU18" s="9" t="n">
        <v>231000</v>
      </c>
      <c r="AV18" s="9" t="n">
        <v>147840</v>
      </c>
      <c r="AW18" s="9" t="n">
        <v>0</v>
      </c>
      <c r="AX18" s="7" t="s">
        <v>127</v>
      </c>
      <c r="AY18" s="7" t="s">
        <v>94</v>
      </c>
      <c r="AZ18" s="7"/>
      <c r="BA18" s="7" t="s">
        <v>202</v>
      </c>
      <c r="BB18" s="7" t="s">
        <v>203</v>
      </c>
      <c r="BC18" s="11" t="s">
        <v>204</v>
      </c>
      <c r="BD18" s="7" t="s">
        <v>98</v>
      </c>
      <c r="BE18" s="11" t="s">
        <v>205</v>
      </c>
    </row>
    <row r="19" customFormat="false" ht="46.25" hidden="false" customHeight="false" outlineLevel="0" collapsed="false">
      <c r="A19" s="6" t="n">
        <v>18</v>
      </c>
      <c r="B19" s="7" t="s">
        <v>83</v>
      </c>
      <c r="C19" s="7" t="s">
        <v>206</v>
      </c>
      <c r="D19" s="8" t="n">
        <v>0.74</v>
      </c>
      <c r="E19" s="7" t="s">
        <v>172</v>
      </c>
      <c r="F19" s="7" t="s">
        <v>86</v>
      </c>
      <c r="G19" s="6" t="n">
        <v>2</v>
      </c>
      <c r="H19" s="7" t="s">
        <v>124</v>
      </c>
      <c r="I19" s="7"/>
      <c r="J19" s="7"/>
      <c r="K19" s="7" t="s">
        <v>88</v>
      </c>
      <c r="L19" s="9" t="n">
        <v>299000</v>
      </c>
      <c r="M19" s="9"/>
      <c r="N19" s="9"/>
      <c r="O19" s="7" t="s">
        <v>41</v>
      </c>
      <c r="P19" s="7" t="s">
        <v>125</v>
      </c>
      <c r="Q19" s="7" t="s">
        <v>90</v>
      </c>
      <c r="R19" s="7" t="s">
        <v>207</v>
      </c>
      <c r="S19" s="7" t="s">
        <v>92</v>
      </c>
      <c r="T19" s="7" t="s">
        <v>208</v>
      </c>
      <c r="U19" s="10"/>
      <c r="V19" s="7"/>
      <c r="W19" s="7"/>
      <c r="X19" s="7"/>
      <c r="Y19" s="7"/>
      <c r="Z19" s="7"/>
      <c r="AA19" s="7"/>
      <c r="AB19" s="8"/>
      <c r="AC19" s="6"/>
      <c r="AD19" s="6"/>
      <c r="AE19" s="6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8"/>
      <c r="AR19" s="9" t="str">
        <f aca="false">IFERROR(VLOOKUP($X19,Lotes!$A:$E,5,FALSE())*$U19,"")</f>
        <v/>
      </c>
      <c r="AS19" s="9" t="n">
        <f aca="false">IF($L19="","",$L19*2.6)</f>
        <v>777400</v>
      </c>
      <c r="AT19" s="9"/>
      <c r="AU19" s="9" t="n">
        <v>448500</v>
      </c>
      <c r="AV19" s="9" t="n">
        <v>448500</v>
      </c>
      <c r="AW19" s="9" t="n">
        <v>296500</v>
      </c>
      <c r="AX19" s="7" t="s">
        <v>127</v>
      </c>
      <c r="AY19" s="7" t="s">
        <v>112</v>
      </c>
      <c r="AZ19" s="7"/>
      <c r="BA19" s="7" t="s">
        <v>209</v>
      </c>
      <c r="BB19" s="7" t="s">
        <v>210</v>
      </c>
      <c r="BC19" s="11" t="s">
        <v>211</v>
      </c>
      <c r="BD19" s="7" t="s">
        <v>98</v>
      </c>
      <c r="BE19" s="11" t="s">
        <v>205</v>
      </c>
    </row>
    <row r="20" customFormat="false" ht="68.65" hidden="false" customHeight="false" outlineLevel="0" collapsed="false">
      <c r="A20" s="6" t="n">
        <v>19</v>
      </c>
      <c r="B20" s="7" t="s">
        <v>83</v>
      </c>
      <c r="C20" s="7" t="s">
        <v>212</v>
      </c>
      <c r="D20" s="8" t="n">
        <v>2.14</v>
      </c>
      <c r="E20" s="7" t="s">
        <v>172</v>
      </c>
      <c r="F20" s="7" t="s">
        <v>86</v>
      </c>
      <c r="G20" s="6" t="n">
        <v>5</v>
      </c>
      <c r="H20" s="7" t="s">
        <v>124</v>
      </c>
      <c r="I20" s="7"/>
      <c r="J20" s="7"/>
      <c r="K20" s="7" t="s">
        <v>88</v>
      </c>
      <c r="L20" s="9" t="n">
        <v>304231</v>
      </c>
      <c r="M20" s="9"/>
      <c r="N20" s="9"/>
      <c r="O20" s="7" t="s">
        <v>41</v>
      </c>
      <c r="P20" s="7" t="s">
        <v>125</v>
      </c>
      <c r="Q20" s="7" t="s">
        <v>90</v>
      </c>
      <c r="R20" s="7" t="s">
        <v>213</v>
      </c>
      <c r="S20" s="7" t="s">
        <v>92</v>
      </c>
      <c r="T20" s="7" t="s">
        <v>93</v>
      </c>
      <c r="U20" s="10"/>
      <c r="V20" s="7"/>
      <c r="W20" s="7"/>
      <c r="X20" s="7"/>
      <c r="Y20" s="7"/>
      <c r="Z20" s="7"/>
      <c r="AA20" s="7"/>
      <c r="AB20" s="8"/>
      <c r="AC20" s="6"/>
      <c r="AD20" s="6"/>
      <c r="AE20" s="6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8"/>
      <c r="AR20" s="9" t="str">
        <f aca="false">IFERROR(VLOOKUP($X20,Lotes!$A:$E,5,FALSE())*$U20,"")</f>
        <v/>
      </c>
      <c r="AS20" s="9" t="n">
        <f aca="false">IF($L20="","",$L20*2.6)</f>
        <v>791000.6</v>
      </c>
      <c r="AT20" s="9"/>
      <c r="AU20" s="9" t="n">
        <v>791000</v>
      </c>
      <c r="AV20" s="9" t="n">
        <v>780796.1</v>
      </c>
      <c r="AW20" s="9" t="n">
        <v>796.099999999977</v>
      </c>
      <c r="AX20" s="7" t="s">
        <v>127</v>
      </c>
      <c r="AY20" s="7" t="s">
        <v>94</v>
      </c>
      <c r="AZ20" s="7"/>
      <c r="BA20" s="7" t="s">
        <v>214</v>
      </c>
      <c r="BB20" s="7" t="s">
        <v>215</v>
      </c>
      <c r="BC20" s="11" t="s">
        <v>216</v>
      </c>
      <c r="BD20" s="7" t="s">
        <v>98</v>
      </c>
      <c r="BE20" s="11" t="s">
        <v>131</v>
      </c>
    </row>
    <row r="21" customFormat="false" ht="15" hidden="false" customHeight="false" outlineLevel="0" collapsed="false">
      <c r="A21" s="6" t="n">
        <v>20</v>
      </c>
      <c r="B21" s="7" t="s">
        <v>83</v>
      </c>
      <c r="C21" s="7" t="s">
        <v>217</v>
      </c>
      <c r="D21" s="8" t="n">
        <v>0.73</v>
      </c>
      <c r="E21" s="7" t="s">
        <v>172</v>
      </c>
      <c r="F21" s="7" t="s">
        <v>86</v>
      </c>
      <c r="G21" s="6" t="n">
        <v>2</v>
      </c>
      <c r="H21" s="7" t="s">
        <v>87</v>
      </c>
      <c r="I21" s="7"/>
      <c r="J21" s="7"/>
      <c r="K21" s="7" t="s">
        <v>88</v>
      </c>
      <c r="L21" s="9" t="n">
        <v>270000</v>
      </c>
      <c r="M21" s="9"/>
      <c r="N21" s="9"/>
      <c r="O21" s="7" t="s">
        <v>41</v>
      </c>
      <c r="P21" s="7" t="s">
        <v>218</v>
      </c>
      <c r="Q21" s="7" t="s">
        <v>90</v>
      </c>
      <c r="R21" s="7" t="s">
        <v>219</v>
      </c>
      <c r="S21" s="7" t="s">
        <v>92</v>
      </c>
      <c r="T21" s="7" t="s">
        <v>93</v>
      </c>
      <c r="U21" s="10"/>
      <c r="V21" s="7"/>
      <c r="W21" s="7"/>
      <c r="X21" s="7"/>
      <c r="Y21" s="7"/>
      <c r="Z21" s="7"/>
      <c r="AA21" s="7"/>
      <c r="AB21" s="8"/>
      <c r="AC21" s="6"/>
      <c r="AD21" s="6"/>
      <c r="AE21" s="6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8"/>
      <c r="AR21" s="9" t="str">
        <f aca="false">IFERROR(VLOOKUP($X21,Lotes!$A:$E,5,FALSE())*$U21,"")</f>
        <v/>
      </c>
      <c r="AS21" s="9" t="n">
        <f aca="false">IF($L21="","",$L21*2.6)</f>
        <v>702000</v>
      </c>
      <c r="AT21" s="9"/>
      <c r="AU21" s="9" t="n">
        <v>405000</v>
      </c>
      <c r="AV21" s="9" t="n">
        <v>392850</v>
      </c>
      <c r="AW21" s="9" t="n">
        <v>0</v>
      </c>
      <c r="AX21" s="7" t="s">
        <v>218</v>
      </c>
      <c r="AY21" s="7" t="s">
        <v>94</v>
      </c>
      <c r="AZ21" s="7"/>
      <c r="BA21" s="7" t="s">
        <v>220</v>
      </c>
      <c r="BB21" s="7" t="s">
        <v>221</v>
      </c>
      <c r="BC21" s="11" t="s">
        <v>222</v>
      </c>
      <c r="BD21" s="7" t="s">
        <v>98</v>
      </c>
      <c r="BE21" s="11"/>
    </row>
    <row r="22" customFormat="false" ht="23.85" hidden="false" customHeight="false" outlineLevel="0" collapsed="false">
      <c r="A22" s="6" t="n">
        <v>21</v>
      </c>
      <c r="B22" s="7" t="s">
        <v>83</v>
      </c>
      <c r="C22" s="7" t="s">
        <v>223</v>
      </c>
      <c r="D22" s="8" t="n">
        <v>1.63</v>
      </c>
      <c r="E22" s="7" t="s">
        <v>172</v>
      </c>
      <c r="F22" s="7" t="s">
        <v>148</v>
      </c>
      <c r="G22" s="6" t="n">
        <v>2</v>
      </c>
      <c r="H22" s="7" t="s">
        <v>124</v>
      </c>
      <c r="I22" s="7"/>
      <c r="J22" s="7"/>
      <c r="K22" s="7" t="s">
        <v>88</v>
      </c>
      <c r="L22" s="9" t="n">
        <v>210769</v>
      </c>
      <c r="M22" s="9"/>
      <c r="N22" s="9"/>
      <c r="O22" s="7" t="s">
        <v>41</v>
      </c>
      <c r="P22" s="7" t="s">
        <v>117</v>
      </c>
      <c r="Q22" s="7" t="s">
        <v>90</v>
      </c>
      <c r="R22" s="7" t="s">
        <v>224</v>
      </c>
      <c r="S22" s="7" t="s">
        <v>92</v>
      </c>
      <c r="T22" s="7" t="s">
        <v>93</v>
      </c>
      <c r="U22" s="10"/>
      <c r="V22" s="7"/>
      <c r="W22" s="7"/>
      <c r="X22" s="7"/>
      <c r="Y22" s="7"/>
      <c r="Z22" s="7"/>
      <c r="AA22" s="7"/>
      <c r="AB22" s="8"/>
      <c r="AC22" s="6"/>
      <c r="AD22" s="6"/>
      <c r="AE22" s="6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8"/>
      <c r="AR22" s="9" t="str">
        <f aca="false">IFERROR(VLOOKUP($X22,Lotes!$A:$E,5,FALSE())*$U22,"")</f>
        <v/>
      </c>
      <c r="AS22" s="9" t="n">
        <f aca="false">IF($L22="","",$L22*2.6)</f>
        <v>547999.4</v>
      </c>
      <c r="AT22" s="9"/>
      <c r="AU22" s="9" t="n">
        <v>548000</v>
      </c>
      <c r="AV22" s="9" t="n">
        <v>411000</v>
      </c>
      <c r="AW22" s="9" t="n">
        <v>0</v>
      </c>
      <c r="AX22" s="7" t="s">
        <v>117</v>
      </c>
      <c r="AY22" s="7" t="s">
        <v>94</v>
      </c>
      <c r="AZ22" s="7"/>
      <c r="BA22" s="7" t="s">
        <v>225</v>
      </c>
      <c r="BB22" s="7" t="s">
        <v>226</v>
      </c>
      <c r="BC22" s="11" t="s">
        <v>227</v>
      </c>
      <c r="BD22" s="7" t="s">
        <v>98</v>
      </c>
      <c r="BE22" s="11" t="s">
        <v>99</v>
      </c>
    </row>
    <row r="23" customFormat="false" ht="23.85" hidden="false" customHeight="false" outlineLevel="0" collapsed="false">
      <c r="A23" s="6" t="n">
        <v>22</v>
      </c>
      <c r="B23" s="7" t="s">
        <v>83</v>
      </c>
      <c r="C23" s="7" t="s">
        <v>228</v>
      </c>
      <c r="D23" s="8" t="n">
        <v>1.14</v>
      </c>
      <c r="E23" s="7" t="s">
        <v>172</v>
      </c>
      <c r="F23" s="7" t="s">
        <v>148</v>
      </c>
      <c r="G23" s="6" t="n">
        <v>1</v>
      </c>
      <c r="H23" s="7" t="s">
        <v>101</v>
      </c>
      <c r="I23" s="7"/>
      <c r="J23" s="7"/>
      <c r="K23" s="7" t="s">
        <v>88</v>
      </c>
      <c r="L23" s="9" t="n">
        <v>147308</v>
      </c>
      <c r="M23" s="9"/>
      <c r="N23" s="9"/>
      <c r="O23" s="7" t="s">
        <v>41</v>
      </c>
      <c r="P23" s="7" t="s">
        <v>117</v>
      </c>
      <c r="Q23" s="7" t="s">
        <v>90</v>
      </c>
      <c r="R23" s="7" t="s">
        <v>229</v>
      </c>
      <c r="S23" s="7" t="s">
        <v>92</v>
      </c>
      <c r="T23" s="7" t="s">
        <v>93</v>
      </c>
      <c r="U23" s="10"/>
      <c r="V23" s="7"/>
      <c r="W23" s="7"/>
      <c r="X23" s="7"/>
      <c r="Y23" s="7"/>
      <c r="Z23" s="7"/>
      <c r="AA23" s="7"/>
      <c r="AB23" s="8"/>
      <c r="AC23" s="6"/>
      <c r="AD23" s="6"/>
      <c r="AE23" s="6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8"/>
      <c r="AR23" s="9" t="str">
        <f aca="false">IFERROR(VLOOKUP($X23,Lotes!$A:$E,5,FALSE())*$U23,"")</f>
        <v/>
      </c>
      <c r="AS23" s="9" t="n">
        <f aca="false">IF($L23="","",$L23*2.6)</f>
        <v>383000.8</v>
      </c>
      <c r="AT23" s="9"/>
      <c r="AU23" s="9" t="n">
        <v>383000</v>
      </c>
      <c r="AV23" s="9" t="n">
        <v>283420</v>
      </c>
      <c r="AW23" s="9" t="n">
        <v>0</v>
      </c>
      <c r="AX23" s="7" t="s">
        <v>117</v>
      </c>
      <c r="AY23" s="7" t="s">
        <v>94</v>
      </c>
      <c r="AZ23" s="7"/>
      <c r="BA23" s="7" t="s">
        <v>230</v>
      </c>
      <c r="BB23" s="7" t="s">
        <v>231</v>
      </c>
      <c r="BC23" s="11" t="s">
        <v>232</v>
      </c>
      <c r="BD23" s="7" t="s">
        <v>98</v>
      </c>
      <c r="BE23" s="11" t="s">
        <v>99</v>
      </c>
    </row>
    <row r="24" customFormat="false" ht="15" hidden="false" customHeight="false" outlineLevel="0" collapsed="false">
      <c r="A24" s="6" t="n">
        <v>23</v>
      </c>
      <c r="B24" s="7" t="s">
        <v>83</v>
      </c>
      <c r="C24" s="7" t="s">
        <v>233</v>
      </c>
      <c r="D24" s="8" t="n">
        <v>0.58</v>
      </c>
      <c r="E24" s="7" t="s">
        <v>172</v>
      </c>
      <c r="F24" s="7" t="s">
        <v>148</v>
      </c>
      <c r="G24" s="6" t="n">
        <v>1</v>
      </c>
      <c r="H24" s="7" t="s">
        <v>101</v>
      </c>
      <c r="I24" s="7"/>
      <c r="J24" s="7"/>
      <c r="K24" s="7" t="s">
        <v>88</v>
      </c>
      <c r="L24" s="9" t="n">
        <v>195000</v>
      </c>
      <c r="M24" s="9"/>
      <c r="N24" s="9"/>
      <c r="O24" s="7" t="s">
        <v>41</v>
      </c>
      <c r="P24" s="7" t="s">
        <v>234</v>
      </c>
      <c r="Q24" s="7" t="s">
        <v>90</v>
      </c>
      <c r="R24" s="7" t="s">
        <v>235</v>
      </c>
      <c r="S24" s="7" t="s">
        <v>92</v>
      </c>
      <c r="T24" s="7" t="s">
        <v>93</v>
      </c>
      <c r="U24" s="10"/>
      <c r="V24" s="7"/>
      <c r="W24" s="7"/>
      <c r="X24" s="7"/>
      <c r="Y24" s="7"/>
      <c r="Z24" s="7"/>
      <c r="AA24" s="7"/>
      <c r="AB24" s="8"/>
      <c r="AC24" s="6"/>
      <c r="AD24" s="6"/>
      <c r="AE24" s="6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8"/>
      <c r="AR24" s="9" t="str">
        <f aca="false">IFERROR(VLOOKUP($X24,Lotes!$A:$E,5,FALSE())*$U24,"")</f>
        <v/>
      </c>
      <c r="AS24" s="9" t="n">
        <f aca="false">IF($L24="","",$L24*2.6)</f>
        <v>507000</v>
      </c>
      <c r="AT24" s="9"/>
      <c r="AU24" s="9" t="n">
        <v>234000</v>
      </c>
      <c r="AV24" s="9" t="n">
        <v>200070</v>
      </c>
      <c r="AW24" s="9" t="n">
        <v>70</v>
      </c>
      <c r="AX24" s="7" t="s">
        <v>234</v>
      </c>
      <c r="AY24" s="7" t="s">
        <v>94</v>
      </c>
      <c r="AZ24" s="7"/>
      <c r="BA24" s="7" t="s">
        <v>236</v>
      </c>
      <c r="BB24" s="7" t="s">
        <v>237</v>
      </c>
      <c r="BC24" s="11" t="s">
        <v>238</v>
      </c>
      <c r="BD24" s="7" t="s">
        <v>98</v>
      </c>
      <c r="BE24" s="11"/>
    </row>
    <row r="25" customFormat="false" ht="68.65" hidden="false" customHeight="false" outlineLevel="0" collapsed="false">
      <c r="A25" s="6" t="n">
        <v>24</v>
      </c>
      <c r="B25" s="7" t="s">
        <v>83</v>
      </c>
      <c r="C25" s="7" t="s">
        <v>239</v>
      </c>
      <c r="D25" s="8" t="n">
        <v>0.44</v>
      </c>
      <c r="E25" s="7" t="s">
        <v>172</v>
      </c>
      <c r="F25" s="7" t="s">
        <v>148</v>
      </c>
      <c r="G25" s="6" t="n">
        <v>1</v>
      </c>
      <c r="H25" s="7" t="s">
        <v>200</v>
      </c>
      <c r="I25" s="7"/>
      <c r="J25" s="7"/>
      <c r="K25" s="7" t="s">
        <v>88</v>
      </c>
      <c r="L25" s="9" t="n">
        <v>56923</v>
      </c>
      <c r="M25" s="9"/>
      <c r="N25" s="9"/>
      <c r="O25" s="7" t="s">
        <v>41</v>
      </c>
      <c r="P25" s="7" t="s">
        <v>89</v>
      </c>
      <c r="Q25" s="7" t="s">
        <v>90</v>
      </c>
      <c r="R25" s="7" t="s">
        <v>240</v>
      </c>
      <c r="S25" s="7" t="s">
        <v>92</v>
      </c>
      <c r="T25" s="7" t="s">
        <v>93</v>
      </c>
      <c r="U25" s="10"/>
      <c r="V25" s="7"/>
      <c r="W25" s="7"/>
      <c r="X25" s="7"/>
      <c r="Y25" s="7"/>
      <c r="Z25" s="7"/>
      <c r="AA25" s="7"/>
      <c r="AB25" s="8"/>
      <c r="AC25" s="6"/>
      <c r="AD25" s="6"/>
      <c r="AE25" s="6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8"/>
      <c r="AR25" s="9" t="str">
        <f aca="false">IFERROR(VLOOKUP($X25,Lotes!$A:$E,5,FALSE())*$U25,"")</f>
        <v/>
      </c>
      <c r="AS25" s="9" t="n">
        <f aca="false">IF($L25="","",$L25*2.6)</f>
        <v>147999.8</v>
      </c>
      <c r="AT25" s="9"/>
      <c r="AU25" s="9" t="n">
        <v>148000</v>
      </c>
      <c r="AV25" s="9" t="n">
        <v>148000</v>
      </c>
      <c r="AW25" s="9" t="n">
        <v>0</v>
      </c>
      <c r="AX25" s="7" t="s">
        <v>159</v>
      </c>
      <c r="AY25" s="7" t="s">
        <v>94</v>
      </c>
      <c r="AZ25" s="7"/>
      <c r="BA25" s="7" t="s">
        <v>241</v>
      </c>
      <c r="BB25" s="7" t="s">
        <v>242</v>
      </c>
      <c r="BC25" s="11" t="s">
        <v>243</v>
      </c>
      <c r="BD25" s="7" t="s">
        <v>98</v>
      </c>
      <c r="BE25" s="11" t="s">
        <v>188</v>
      </c>
    </row>
    <row r="26" customFormat="false" ht="23.85" hidden="false" customHeight="false" outlineLevel="0" collapsed="false">
      <c r="A26" s="6" t="n">
        <v>25</v>
      </c>
      <c r="B26" s="7" t="s">
        <v>83</v>
      </c>
      <c r="C26" s="7" t="s">
        <v>244</v>
      </c>
      <c r="D26" s="8" t="n">
        <v>0.41</v>
      </c>
      <c r="E26" s="7" t="s">
        <v>245</v>
      </c>
      <c r="F26" s="7" t="s">
        <v>86</v>
      </c>
      <c r="G26" s="6" t="n">
        <v>2</v>
      </c>
      <c r="H26" s="7" t="s">
        <v>124</v>
      </c>
      <c r="I26" s="7"/>
      <c r="J26" s="7"/>
      <c r="K26" s="7" t="s">
        <v>88</v>
      </c>
      <c r="L26" s="9" t="n">
        <v>63846</v>
      </c>
      <c r="M26" s="9"/>
      <c r="N26" s="9"/>
      <c r="O26" s="7" t="s">
        <v>41</v>
      </c>
      <c r="P26" s="7" t="s">
        <v>117</v>
      </c>
      <c r="Q26" s="7" t="s">
        <v>90</v>
      </c>
      <c r="R26" s="7" t="s">
        <v>246</v>
      </c>
      <c r="S26" s="7" t="s">
        <v>92</v>
      </c>
      <c r="T26" s="7" t="s">
        <v>93</v>
      </c>
      <c r="U26" s="10"/>
      <c r="V26" s="7"/>
      <c r="W26" s="7"/>
      <c r="X26" s="7"/>
      <c r="Y26" s="7"/>
      <c r="Z26" s="7"/>
      <c r="AA26" s="7"/>
      <c r="AB26" s="8"/>
      <c r="AC26" s="6"/>
      <c r="AD26" s="6"/>
      <c r="AE26" s="6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8"/>
      <c r="AR26" s="9" t="str">
        <f aca="false">IFERROR(VLOOKUP($X26,Lotes!$A:$E,5,FALSE())*$U26,"")</f>
        <v/>
      </c>
      <c r="AS26" s="9" t="n">
        <f aca="false">IF($L26="","",$L26*2.6)</f>
        <v>165999.6</v>
      </c>
      <c r="AT26" s="9"/>
      <c r="AU26" s="9" t="n">
        <v>166000</v>
      </c>
      <c r="AV26" s="9" t="n">
        <v>122840</v>
      </c>
      <c r="AW26" s="9" t="n">
        <v>0</v>
      </c>
      <c r="AX26" s="7" t="s">
        <v>117</v>
      </c>
      <c r="AY26" s="7" t="s">
        <v>94</v>
      </c>
      <c r="AZ26" s="7"/>
      <c r="BA26" s="7" t="s">
        <v>247</v>
      </c>
      <c r="BB26" s="7" t="s">
        <v>248</v>
      </c>
      <c r="BC26" s="11" t="s">
        <v>249</v>
      </c>
      <c r="BD26" s="7" t="s">
        <v>98</v>
      </c>
      <c r="BE26" s="11" t="s">
        <v>99</v>
      </c>
    </row>
    <row r="27" customFormat="false" ht="23.85" hidden="false" customHeight="false" outlineLevel="0" collapsed="false">
      <c r="A27" s="6" t="n">
        <v>26</v>
      </c>
      <c r="B27" s="7" t="s">
        <v>83</v>
      </c>
      <c r="C27" s="7" t="s">
        <v>250</v>
      </c>
      <c r="D27" s="8" t="n">
        <v>0.21</v>
      </c>
      <c r="E27" s="7" t="s">
        <v>245</v>
      </c>
      <c r="F27" s="7" t="s">
        <v>86</v>
      </c>
      <c r="G27" s="6" t="n">
        <v>2</v>
      </c>
      <c r="H27" s="7" t="s">
        <v>87</v>
      </c>
      <c r="I27" s="7"/>
      <c r="J27" s="7"/>
      <c r="K27" s="7" t="s">
        <v>88</v>
      </c>
      <c r="L27" s="9" t="n">
        <v>32692</v>
      </c>
      <c r="M27" s="9"/>
      <c r="N27" s="9"/>
      <c r="O27" s="7" t="s">
        <v>108</v>
      </c>
      <c r="P27" s="7" t="s">
        <v>109</v>
      </c>
      <c r="Q27" s="7" t="s">
        <v>90</v>
      </c>
      <c r="R27" s="7" t="s">
        <v>251</v>
      </c>
      <c r="S27" s="7" t="s">
        <v>92</v>
      </c>
      <c r="T27" s="7" t="s">
        <v>93</v>
      </c>
      <c r="U27" s="10"/>
      <c r="V27" s="7"/>
      <c r="W27" s="7"/>
      <c r="X27" s="7"/>
      <c r="Y27" s="7"/>
      <c r="Z27" s="7"/>
      <c r="AA27" s="7"/>
      <c r="AB27" s="8"/>
      <c r="AC27" s="6"/>
      <c r="AD27" s="6"/>
      <c r="AE27" s="6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8"/>
      <c r="AR27" s="9" t="str">
        <f aca="false">IFERROR(VLOOKUP($X27,Lotes!$A:$E,5,FALSE())*$U27,"")</f>
        <v/>
      </c>
      <c r="AS27" s="9" t="n">
        <f aca="false">IF($L27="","",$L27*2.6)</f>
        <v>84999.2</v>
      </c>
      <c r="AT27" s="9"/>
      <c r="AU27" s="9" t="n">
        <v>85000</v>
      </c>
      <c r="AV27" s="9" t="n">
        <v>85000</v>
      </c>
      <c r="AW27" s="9" t="n">
        <v>0</v>
      </c>
      <c r="AX27" s="7" t="s">
        <v>109</v>
      </c>
      <c r="AY27" s="7" t="s">
        <v>94</v>
      </c>
      <c r="AZ27" s="7"/>
      <c r="BA27" s="7" t="s">
        <v>252</v>
      </c>
      <c r="BB27" s="7" t="s">
        <v>253</v>
      </c>
      <c r="BC27" s="11" t="s">
        <v>254</v>
      </c>
      <c r="BD27" s="7" t="s">
        <v>98</v>
      </c>
      <c r="BE27" s="11" t="s">
        <v>99</v>
      </c>
    </row>
    <row r="28" customFormat="false" ht="68.65" hidden="false" customHeight="false" outlineLevel="0" collapsed="false">
      <c r="A28" s="6" t="n">
        <v>27</v>
      </c>
      <c r="B28" s="7" t="s">
        <v>83</v>
      </c>
      <c r="C28" s="7" t="s">
        <v>255</v>
      </c>
      <c r="D28" s="8" t="n">
        <v>0.13</v>
      </c>
      <c r="E28" s="7" t="s">
        <v>245</v>
      </c>
      <c r="F28" s="7" t="s">
        <v>86</v>
      </c>
      <c r="G28" s="6" t="n">
        <v>8</v>
      </c>
      <c r="H28" s="7" t="s">
        <v>101</v>
      </c>
      <c r="I28" s="7"/>
      <c r="J28" s="7"/>
      <c r="K28" s="7" t="s">
        <v>88</v>
      </c>
      <c r="L28" s="9" t="n">
        <v>160769</v>
      </c>
      <c r="M28" s="9"/>
      <c r="N28" s="9"/>
      <c r="O28" s="7" t="s">
        <v>41</v>
      </c>
      <c r="P28" s="7" t="s">
        <v>125</v>
      </c>
      <c r="Q28" s="7" t="s">
        <v>90</v>
      </c>
      <c r="R28" s="7" t="s">
        <v>256</v>
      </c>
      <c r="S28" s="7" t="s">
        <v>92</v>
      </c>
      <c r="T28" s="7" t="s">
        <v>93</v>
      </c>
      <c r="U28" s="10"/>
      <c r="V28" s="7"/>
      <c r="W28" s="7"/>
      <c r="X28" s="7"/>
      <c r="Y28" s="7"/>
      <c r="Z28" s="7"/>
      <c r="AA28" s="7"/>
      <c r="AB28" s="8"/>
      <c r="AC28" s="6"/>
      <c r="AD28" s="6"/>
      <c r="AE28" s="6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8"/>
      <c r="AR28" s="9" t="str">
        <f aca="false">IFERROR(VLOOKUP($X28,Lotes!$A:$E,5,FALSE())*$U28,"")</f>
        <v/>
      </c>
      <c r="AS28" s="9" t="n">
        <f aca="false">IF($L28="","",$L28*2.6)</f>
        <v>417999.4</v>
      </c>
      <c r="AT28" s="9"/>
      <c r="AU28" s="9" t="n">
        <v>418000</v>
      </c>
      <c r="AV28" s="9" t="n">
        <v>249128</v>
      </c>
      <c r="AW28" s="9" t="n">
        <v>0</v>
      </c>
      <c r="AX28" s="7" t="s">
        <v>127</v>
      </c>
      <c r="AY28" s="7" t="s">
        <v>94</v>
      </c>
      <c r="AZ28" s="7"/>
      <c r="BA28" s="7" t="s">
        <v>257</v>
      </c>
      <c r="BB28" s="7" t="s">
        <v>258</v>
      </c>
      <c r="BC28" s="11" t="s">
        <v>259</v>
      </c>
      <c r="BD28" s="7" t="s">
        <v>98</v>
      </c>
      <c r="BE28" s="11" t="s">
        <v>131</v>
      </c>
    </row>
    <row r="29" customFormat="false" ht="68.65" hidden="false" customHeight="false" outlineLevel="0" collapsed="false">
      <c r="A29" s="6" t="n">
        <v>28</v>
      </c>
      <c r="B29" s="7" t="s">
        <v>83</v>
      </c>
      <c r="C29" s="7" t="s">
        <v>260</v>
      </c>
      <c r="D29" s="8" t="n">
        <v>0.33</v>
      </c>
      <c r="E29" s="7" t="s">
        <v>245</v>
      </c>
      <c r="F29" s="7" t="s">
        <v>86</v>
      </c>
      <c r="G29" s="6" t="n">
        <v>3</v>
      </c>
      <c r="H29" s="7" t="s">
        <v>101</v>
      </c>
      <c r="I29" s="7"/>
      <c r="J29" s="7"/>
      <c r="K29" s="7" t="s">
        <v>88</v>
      </c>
      <c r="L29" s="9" t="n">
        <v>51538</v>
      </c>
      <c r="M29" s="9"/>
      <c r="N29" s="9"/>
      <c r="O29" s="7" t="s">
        <v>41</v>
      </c>
      <c r="P29" s="7" t="s">
        <v>261</v>
      </c>
      <c r="Q29" s="7" t="s">
        <v>90</v>
      </c>
      <c r="R29" s="7" t="s">
        <v>262</v>
      </c>
      <c r="S29" s="7" t="s">
        <v>92</v>
      </c>
      <c r="T29" s="7" t="s">
        <v>93</v>
      </c>
      <c r="U29" s="10"/>
      <c r="V29" s="7"/>
      <c r="W29" s="7"/>
      <c r="X29" s="7"/>
      <c r="Y29" s="7"/>
      <c r="Z29" s="7"/>
      <c r="AA29" s="7"/>
      <c r="AB29" s="8"/>
      <c r="AC29" s="6"/>
      <c r="AD29" s="6"/>
      <c r="AE29" s="6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8"/>
      <c r="AR29" s="9" t="str">
        <f aca="false">IFERROR(VLOOKUP($X29,Lotes!$A:$E,5,FALSE())*$U29,"")</f>
        <v/>
      </c>
      <c r="AS29" s="9" t="n">
        <f aca="false">IF($L29="","",$L29*2.6)</f>
        <v>133998.8</v>
      </c>
      <c r="AT29" s="9"/>
      <c r="AU29" s="9" t="n">
        <v>134000</v>
      </c>
      <c r="AV29" s="9" t="n">
        <v>85760</v>
      </c>
      <c r="AW29" s="9" t="n">
        <v>0</v>
      </c>
      <c r="AX29" s="7" t="s">
        <v>263</v>
      </c>
      <c r="AY29" s="7" t="s">
        <v>94</v>
      </c>
      <c r="AZ29" s="7"/>
      <c r="BA29" s="7" t="s">
        <v>264</v>
      </c>
      <c r="BB29" s="7" t="s">
        <v>265</v>
      </c>
      <c r="BC29" s="11" t="s">
        <v>266</v>
      </c>
      <c r="BD29" s="7" t="s">
        <v>98</v>
      </c>
      <c r="BE29" s="11" t="s">
        <v>267</v>
      </c>
    </row>
    <row r="30" customFormat="false" ht="23.85" hidden="false" customHeight="false" outlineLevel="0" collapsed="false">
      <c r="A30" s="6" t="n">
        <v>29</v>
      </c>
      <c r="B30" s="7" t="s">
        <v>268</v>
      </c>
      <c r="C30" s="7" t="s">
        <v>269</v>
      </c>
      <c r="D30" s="8" t="n">
        <v>1.73</v>
      </c>
      <c r="E30" s="7" t="s">
        <v>172</v>
      </c>
      <c r="F30" s="7" t="s">
        <v>270</v>
      </c>
      <c r="G30" s="6" t="n">
        <v>2</v>
      </c>
      <c r="H30" s="7" t="s">
        <v>87</v>
      </c>
      <c r="I30" s="7" t="s">
        <v>271</v>
      </c>
      <c r="J30" s="7" t="s">
        <v>272</v>
      </c>
      <c r="K30" s="7" t="s">
        <v>88</v>
      </c>
      <c r="L30" s="9" t="n">
        <v>293077</v>
      </c>
      <c r="M30" s="9"/>
      <c r="N30" s="9"/>
      <c r="O30" s="7" t="s">
        <v>41</v>
      </c>
      <c r="P30" s="7" t="s">
        <v>89</v>
      </c>
      <c r="Q30" s="7" t="s">
        <v>90</v>
      </c>
      <c r="R30" s="7" t="s">
        <v>273</v>
      </c>
      <c r="S30" s="7" t="s">
        <v>274</v>
      </c>
      <c r="T30" s="7" t="s">
        <v>111</v>
      </c>
      <c r="U30" s="10"/>
      <c r="V30" s="7"/>
      <c r="W30" s="7"/>
      <c r="X30" s="7"/>
      <c r="Y30" s="7"/>
      <c r="Z30" s="7"/>
      <c r="AA30" s="7"/>
      <c r="AB30" s="8"/>
      <c r="AC30" s="6"/>
      <c r="AD30" s="6"/>
      <c r="AE30" s="6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8"/>
      <c r="AR30" s="9" t="str">
        <f aca="false">IFERROR(VLOOKUP($X30,Lotes!$A:$E,5,FALSE())*$U30,"")</f>
        <v/>
      </c>
      <c r="AS30" s="9" t="n">
        <f aca="false">IF($L30="","",$L30*2.6)</f>
        <v>762000.2</v>
      </c>
      <c r="AT30" s="9"/>
      <c r="AU30" s="9" t="n">
        <v>762000</v>
      </c>
      <c r="AV30" s="9" t="n">
        <v>762000</v>
      </c>
      <c r="AW30" s="9" t="n">
        <v>762000</v>
      </c>
      <c r="AX30" s="7" t="s">
        <v>89</v>
      </c>
      <c r="AY30" s="7" t="s">
        <v>112</v>
      </c>
      <c r="AZ30" s="7"/>
      <c r="BA30" s="7" t="s">
        <v>275</v>
      </c>
      <c r="BB30" s="7" t="s">
        <v>276</v>
      </c>
      <c r="BC30" s="11" t="s">
        <v>277</v>
      </c>
      <c r="BD30" s="7" t="s">
        <v>98</v>
      </c>
      <c r="BE30" s="11" t="s">
        <v>99</v>
      </c>
    </row>
    <row r="31" customFormat="false" ht="79.85" hidden="false" customHeight="false" outlineLevel="0" collapsed="false">
      <c r="A31" s="6" t="n">
        <v>30</v>
      </c>
      <c r="B31" s="7" t="s">
        <v>268</v>
      </c>
      <c r="C31" s="7" t="s">
        <v>278</v>
      </c>
      <c r="D31" s="8" t="n">
        <v>1.08</v>
      </c>
      <c r="E31" s="7" t="s">
        <v>172</v>
      </c>
      <c r="F31" s="7" t="s">
        <v>270</v>
      </c>
      <c r="G31" s="6" t="n">
        <v>2</v>
      </c>
      <c r="H31" s="7" t="s">
        <v>87</v>
      </c>
      <c r="I31" s="7" t="s">
        <v>271</v>
      </c>
      <c r="J31" s="7" t="s">
        <v>279</v>
      </c>
      <c r="K31" s="7" t="s">
        <v>88</v>
      </c>
      <c r="L31" s="9" t="n">
        <v>240385</v>
      </c>
      <c r="M31" s="9"/>
      <c r="N31" s="9"/>
      <c r="O31" s="7" t="s">
        <v>41</v>
      </c>
      <c r="P31" s="7" t="s">
        <v>261</v>
      </c>
      <c r="Q31" s="7" t="s">
        <v>90</v>
      </c>
      <c r="R31" s="7" t="s">
        <v>280</v>
      </c>
      <c r="S31" s="7" t="s">
        <v>274</v>
      </c>
      <c r="T31" s="7" t="s">
        <v>93</v>
      </c>
      <c r="U31" s="10"/>
      <c r="V31" s="7"/>
      <c r="W31" s="7"/>
      <c r="X31" s="7"/>
      <c r="Y31" s="7"/>
      <c r="Z31" s="7"/>
      <c r="AA31" s="7"/>
      <c r="AB31" s="8"/>
      <c r="AC31" s="6"/>
      <c r="AD31" s="6"/>
      <c r="AE31" s="6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8"/>
      <c r="AR31" s="9" t="str">
        <f aca="false">IFERROR(VLOOKUP($X31,Lotes!$A:$E,5,FALSE())*$U31,"")</f>
        <v/>
      </c>
      <c r="AS31" s="9" t="n">
        <f aca="false">IF($L31="","",$L31*2.6)</f>
        <v>625001</v>
      </c>
      <c r="AT31" s="9"/>
      <c r="AU31" s="9" t="n">
        <v>625000</v>
      </c>
      <c r="AV31" s="9" t="n">
        <v>400000</v>
      </c>
      <c r="AW31" s="9" t="n">
        <v>0</v>
      </c>
      <c r="AX31" s="7" t="s">
        <v>263</v>
      </c>
      <c r="AY31" s="7" t="s">
        <v>94</v>
      </c>
      <c r="AZ31" s="7"/>
      <c r="BA31" s="7" t="s">
        <v>281</v>
      </c>
      <c r="BB31" s="7" t="s">
        <v>282</v>
      </c>
      <c r="BC31" s="11" t="s">
        <v>283</v>
      </c>
      <c r="BD31" s="7" t="s">
        <v>98</v>
      </c>
      <c r="BE31" s="11" t="s">
        <v>284</v>
      </c>
    </row>
    <row r="32" customFormat="false" ht="23.85" hidden="false" customHeight="false" outlineLevel="0" collapsed="false">
      <c r="A32" s="6" t="n">
        <v>31</v>
      </c>
      <c r="B32" s="7" t="s">
        <v>268</v>
      </c>
      <c r="C32" s="7" t="s">
        <v>285</v>
      </c>
      <c r="D32" s="8" t="n">
        <v>0.48</v>
      </c>
      <c r="E32" s="7" t="s">
        <v>172</v>
      </c>
      <c r="F32" s="7" t="s">
        <v>270</v>
      </c>
      <c r="G32" s="6" t="n">
        <v>1</v>
      </c>
      <c r="H32" s="7" t="s">
        <v>124</v>
      </c>
      <c r="I32" s="7" t="s">
        <v>271</v>
      </c>
      <c r="J32" s="7" t="s">
        <v>286</v>
      </c>
      <c r="K32" s="7" t="s">
        <v>88</v>
      </c>
      <c r="L32" s="9" t="n">
        <v>85385</v>
      </c>
      <c r="M32" s="9"/>
      <c r="N32" s="9"/>
      <c r="O32" s="7" t="s">
        <v>41</v>
      </c>
      <c r="P32" s="7" t="s">
        <v>117</v>
      </c>
      <c r="Q32" s="7" t="s">
        <v>90</v>
      </c>
      <c r="R32" s="7" t="s">
        <v>287</v>
      </c>
      <c r="S32" s="7" t="s">
        <v>274</v>
      </c>
      <c r="T32" s="7" t="s">
        <v>93</v>
      </c>
      <c r="U32" s="10"/>
      <c r="V32" s="7"/>
      <c r="W32" s="7"/>
      <c r="X32" s="7"/>
      <c r="Y32" s="7"/>
      <c r="Z32" s="7"/>
      <c r="AA32" s="7"/>
      <c r="AB32" s="8"/>
      <c r="AC32" s="6"/>
      <c r="AD32" s="6"/>
      <c r="AE32" s="6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8"/>
      <c r="AR32" s="9" t="str">
        <f aca="false">IFERROR(VLOOKUP($X32,Lotes!$A:$E,5,FALSE())*$U32,"")</f>
        <v/>
      </c>
      <c r="AS32" s="9" t="n">
        <f aca="false">IF($L32="","",$L32*2.6)</f>
        <v>222001</v>
      </c>
      <c r="AT32" s="9"/>
      <c r="AU32" s="9" t="n">
        <v>222000</v>
      </c>
      <c r="AV32" s="9" t="n">
        <v>164280</v>
      </c>
      <c r="AW32" s="9" t="n">
        <v>0</v>
      </c>
      <c r="AX32" s="7" t="s">
        <v>117</v>
      </c>
      <c r="AY32" s="7" t="s">
        <v>94</v>
      </c>
      <c r="AZ32" s="7"/>
      <c r="BA32" s="7" t="s">
        <v>288</v>
      </c>
      <c r="BB32" s="7" t="s">
        <v>289</v>
      </c>
      <c r="BC32" s="11" t="s">
        <v>290</v>
      </c>
      <c r="BD32" s="7" t="s">
        <v>98</v>
      </c>
      <c r="BE32" s="11" t="s">
        <v>99</v>
      </c>
    </row>
    <row r="33" customFormat="false" ht="23.85" hidden="false" customHeight="false" outlineLevel="0" collapsed="false">
      <c r="A33" s="6" t="n">
        <v>32</v>
      </c>
      <c r="B33" s="7" t="s">
        <v>268</v>
      </c>
      <c r="C33" s="7" t="s">
        <v>291</v>
      </c>
      <c r="D33" s="8" t="n">
        <v>0.43</v>
      </c>
      <c r="E33" s="7" t="s">
        <v>172</v>
      </c>
      <c r="F33" s="7" t="s">
        <v>270</v>
      </c>
      <c r="G33" s="6" t="n">
        <v>1</v>
      </c>
      <c r="H33" s="7" t="s">
        <v>87</v>
      </c>
      <c r="I33" s="7" t="s">
        <v>271</v>
      </c>
      <c r="J33" s="7" t="s">
        <v>292</v>
      </c>
      <c r="K33" s="7" t="s">
        <v>88</v>
      </c>
      <c r="L33" s="9" t="n">
        <v>76538</v>
      </c>
      <c r="M33" s="9"/>
      <c r="N33" s="9"/>
      <c r="O33" s="7" t="s">
        <v>41</v>
      </c>
      <c r="P33" s="7" t="s">
        <v>117</v>
      </c>
      <c r="Q33" s="7" t="s">
        <v>90</v>
      </c>
      <c r="R33" s="7" t="s">
        <v>293</v>
      </c>
      <c r="S33" s="7" t="s">
        <v>274</v>
      </c>
      <c r="T33" s="7" t="s">
        <v>93</v>
      </c>
      <c r="U33" s="10"/>
      <c r="V33" s="7"/>
      <c r="W33" s="7"/>
      <c r="X33" s="7"/>
      <c r="Y33" s="7"/>
      <c r="Z33" s="7"/>
      <c r="AA33" s="7"/>
      <c r="AB33" s="8"/>
      <c r="AC33" s="6"/>
      <c r="AD33" s="6"/>
      <c r="AE33" s="6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8"/>
      <c r="AR33" s="9" t="str">
        <f aca="false">IFERROR(VLOOKUP($X33,Lotes!$A:$E,5,FALSE())*$U33,"")</f>
        <v/>
      </c>
      <c r="AS33" s="9" t="n">
        <f aca="false">IF($L33="","",$L33*2.6)</f>
        <v>198998.8</v>
      </c>
      <c r="AT33" s="9"/>
      <c r="AU33" s="9" t="n">
        <v>199000</v>
      </c>
      <c r="AV33" s="9" t="n">
        <v>35820</v>
      </c>
      <c r="AW33" s="9" t="n">
        <v>-223</v>
      </c>
      <c r="AX33" s="7" t="s">
        <v>117</v>
      </c>
      <c r="AY33" s="7" t="s">
        <v>94</v>
      </c>
      <c r="AZ33" s="7"/>
      <c r="BA33" s="7" t="s">
        <v>294</v>
      </c>
      <c r="BB33" s="7" t="s">
        <v>295</v>
      </c>
      <c r="BC33" s="11" t="s">
        <v>296</v>
      </c>
      <c r="BD33" s="7" t="s">
        <v>98</v>
      </c>
      <c r="BE33" s="11" t="s">
        <v>99</v>
      </c>
    </row>
    <row r="34" customFormat="false" ht="23.85" hidden="false" customHeight="false" outlineLevel="0" collapsed="false">
      <c r="A34" s="6" t="n">
        <v>33</v>
      </c>
      <c r="B34" s="7" t="s">
        <v>268</v>
      </c>
      <c r="C34" s="7" t="s">
        <v>297</v>
      </c>
      <c r="D34" s="8" t="n">
        <v>0.45</v>
      </c>
      <c r="E34" s="7" t="s">
        <v>172</v>
      </c>
      <c r="F34" s="7" t="s">
        <v>270</v>
      </c>
      <c r="G34" s="6" t="n">
        <v>1</v>
      </c>
      <c r="H34" s="7" t="s">
        <v>178</v>
      </c>
      <c r="I34" s="7" t="s">
        <v>271</v>
      </c>
      <c r="J34" s="7" t="s">
        <v>292</v>
      </c>
      <c r="K34" s="7" t="s">
        <v>88</v>
      </c>
      <c r="L34" s="9" t="n">
        <v>111923</v>
      </c>
      <c r="M34" s="9"/>
      <c r="N34" s="9"/>
      <c r="O34" s="7" t="s">
        <v>41</v>
      </c>
      <c r="P34" s="7" t="s">
        <v>117</v>
      </c>
      <c r="Q34" s="7" t="s">
        <v>90</v>
      </c>
      <c r="R34" s="7" t="s">
        <v>298</v>
      </c>
      <c r="S34" s="7" t="s">
        <v>274</v>
      </c>
      <c r="T34" s="7" t="s">
        <v>93</v>
      </c>
      <c r="U34" s="10"/>
      <c r="V34" s="7"/>
      <c r="W34" s="7"/>
      <c r="X34" s="7"/>
      <c r="Y34" s="7"/>
      <c r="Z34" s="7"/>
      <c r="AA34" s="7"/>
      <c r="AB34" s="8"/>
      <c r="AC34" s="6"/>
      <c r="AD34" s="6"/>
      <c r="AE34" s="6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8"/>
      <c r="AR34" s="9" t="str">
        <f aca="false">IFERROR(VLOOKUP($X34,Lotes!$A:$E,5,FALSE())*$U34,"")</f>
        <v/>
      </c>
      <c r="AS34" s="9" t="n">
        <f aca="false">IF($L34="","",$L34*2.6)</f>
        <v>290999.8</v>
      </c>
      <c r="AT34" s="9"/>
      <c r="AU34" s="9" t="n">
        <v>291000</v>
      </c>
      <c r="AV34" s="9" t="n">
        <v>215340</v>
      </c>
      <c r="AW34" s="9" t="n">
        <v>0</v>
      </c>
      <c r="AX34" s="7" t="s">
        <v>117</v>
      </c>
      <c r="AY34" s="7" t="s">
        <v>94</v>
      </c>
      <c r="AZ34" s="7"/>
      <c r="BA34" s="7" t="s">
        <v>299</v>
      </c>
      <c r="BB34" s="7" t="s">
        <v>300</v>
      </c>
      <c r="BC34" s="11" t="s">
        <v>301</v>
      </c>
      <c r="BD34" s="7" t="s">
        <v>98</v>
      </c>
      <c r="BE34" s="11" t="s">
        <v>99</v>
      </c>
    </row>
    <row r="35" customFormat="false" ht="23.85" hidden="false" customHeight="false" outlineLevel="0" collapsed="false">
      <c r="A35" s="6" t="n">
        <v>34</v>
      </c>
      <c r="B35" s="7" t="s">
        <v>268</v>
      </c>
      <c r="C35" s="7" t="s">
        <v>302</v>
      </c>
      <c r="D35" s="8" t="n">
        <v>0.55</v>
      </c>
      <c r="E35" s="7" t="s">
        <v>172</v>
      </c>
      <c r="F35" s="7" t="s">
        <v>270</v>
      </c>
      <c r="G35" s="6" t="n">
        <v>1</v>
      </c>
      <c r="H35" s="7" t="s">
        <v>101</v>
      </c>
      <c r="I35" s="7" t="s">
        <v>303</v>
      </c>
      <c r="J35" s="7" t="s">
        <v>304</v>
      </c>
      <c r="K35" s="7" t="s">
        <v>88</v>
      </c>
      <c r="L35" s="9" t="n">
        <v>105385</v>
      </c>
      <c r="M35" s="9"/>
      <c r="N35" s="9"/>
      <c r="O35" s="7" t="s">
        <v>41</v>
      </c>
      <c r="P35" s="7" t="s">
        <v>305</v>
      </c>
      <c r="Q35" s="7" t="s">
        <v>90</v>
      </c>
      <c r="R35" s="7" t="s">
        <v>306</v>
      </c>
      <c r="S35" s="7" t="s">
        <v>274</v>
      </c>
      <c r="T35" s="7" t="s">
        <v>93</v>
      </c>
      <c r="U35" s="10"/>
      <c r="V35" s="7"/>
      <c r="W35" s="7"/>
      <c r="X35" s="7"/>
      <c r="Y35" s="7"/>
      <c r="Z35" s="7"/>
      <c r="AA35" s="7"/>
      <c r="AB35" s="8"/>
      <c r="AC35" s="6"/>
      <c r="AD35" s="6"/>
      <c r="AE35" s="6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8"/>
      <c r="AR35" s="9" t="str">
        <f aca="false">IFERROR(VLOOKUP($X35,Lotes!$A:$E,5,FALSE())*$U35,"")</f>
        <v/>
      </c>
      <c r="AS35" s="9" t="n">
        <f aca="false">IF($L35="","",$L35*2.6)</f>
        <v>274001</v>
      </c>
      <c r="AT35" s="9"/>
      <c r="AU35" s="9" t="n">
        <v>274000</v>
      </c>
      <c r="AV35" s="9" t="n">
        <v>175360</v>
      </c>
      <c r="AW35" s="9" t="n">
        <v>0</v>
      </c>
      <c r="AX35" s="7" t="s">
        <v>305</v>
      </c>
      <c r="AY35" s="7" t="s">
        <v>94</v>
      </c>
      <c r="AZ35" s="7"/>
      <c r="BA35" s="7" t="s">
        <v>307</v>
      </c>
      <c r="BB35" s="7" t="s">
        <v>308</v>
      </c>
      <c r="BC35" s="11" t="s">
        <v>309</v>
      </c>
      <c r="BD35" s="7" t="s">
        <v>98</v>
      </c>
      <c r="BE35" s="11" t="s">
        <v>99</v>
      </c>
    </row>
    <row r="36" customFormat="false" ht="23.85" hidden="false" customHeight="false" outlineLevel="0" collapsed="false">
      <c r="A36" s="6" t="n">
        <v>35</v>
      </c>
      <c r="B36" s="7" t="s">
        <v>268</v>
      </c>
      <c r="C36" s="7" t="s">
        <v>310</v>
      </c>
      <c r="D36" s="8" t="n">
        <v>0.47</v>
      </c>
      <c r="E36" s="7" t="s">
        <v>172</v>
      </c>
      <c r="F36" s="7" t="s">
        <v>311</v>
      </c>
      <c r="G36" s="6" t="n">
        <v>1</v>
      </c>
      <c r="H36" s="7" t="s">
        <v>178</v>
      </c>
      <c r="I36" s="7" t="s">
        <v>271</v>
      </c>
      <c r="J36" s="7" t="s">
        <v>312</v>
      </c>
      <c r="K36" s="7" t="s">
        <v>88</v>
      </c>
      <c r="L36" s="9" t="n">
        <v>117000</v>
      </c>
      <c r="M36" s="9"/>
      <c r="N36" s="9"/>
      <c r="O36" s="7" t="s">
        <v>41</v>
      </c>
      <c r="P36" s="7" t="s">
        <v>117</v>
      </c>
      <c r="Q36" s="7" t="s">
        <v>90</v>
      </c>
      <c r="R36" s="7" t="s">
        <v>313</v>
      </c>
      <c r="S36" s="7" t="s">
        <v>274</v>
      </c>
      <c r="T36" s="7" t="s">
        <v>93</v>
      </c>
      <c r="U36" s="10"/>
      <c r="V36" s="7"/>
      <c r="W36" s="7"/>
      <c r="X36" s="7"/>
      <c r="Y36" s="7"/>
      <c r="Z36" s="7"/>
      <c r="AA36" s="7"/>
      <c r="AB36" s="8"/>
      <c r="AC36" s="6"/>
      <c r="AD36" s="6"/>
      <c r="AE36" s="6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8"/>
      <c r="AR36" s="9" t="str">
        <f aca="false">IFERROR(VLOOKUP($X36,Lotes!$A:$E,5,FALSE())*$U36,"")</f>
        <v/>
      </c>
      <c r="AS36" s="9" t="n">
        <f aca="false">IF($L36="","",$L36*2.6)</f>
        <v>304200</v>
      </c>
      <c r="AT36" s="9"/>
      <c r="AU36" s="9" t="n">
        <v>304200</v>
      </c>
      <c r="AV36" s="9" t="n">
        <v>225108</v>
      </c>
      <c r="AW36" s="9" t="n">
        <v>0</v>
      </c>
      <c r="AX36" s="7" t="s">
        <v>117</v>
      </c>
      <c r="AY36" s="7" t="s">
        <v>94</v>
      </c>
      <c r="AZ36" s="7"/>
      <c r="BA36" s="7" t="s">
        <v>314</v>
      </c>
      <c r="BB36" s="7" t="s">
        <v>315</v>
      </c>
      <c r="BC36" s="11" t="s">
        <v>316</v>
      </c>
      <c r="BD36" s="7" t="s">
        <v>98</v>
      </c>
      <c r="BE36" s="11" t="s">
        <v>99</v>
      </c>
    </row>
    <row r="37" customFormat="false" ht="23.85" hidden="false" customHeight="false" outlineLevel="0" collapsed="false">
      <c r="A37" s="6" t="n">
        <v>36</v>
      </c>
      <c r="B37" s="7" t="s">
        <v>268</v>
      </c>
      <c r="C37" s="7" t="s">
        <v>317</v>
      </c>
      <c r="D37" s="8" t="n">
        <v>0.46</v>
      </c>
      <c r="E37" s="7" t="s">
        <v>172</v>
      </c>
      <c r="F37" s="7" t="s">
        <v>123</v>
      </c>
      <c r="G37" s="6" t="n">
        <v>1</v>
      </c>
      <c r="H37" s="7" t="s">
        <v>178</v>
      </c>
      <c r="I37" s="7" t="s">
        <v>271</v>
      </c>
      <c r="J37" s="7" t="s">
        <v>318</v>
      </c>
      <c r="K37" s="7" t="s">
        <v>88</v>
      </c>
      <c r="L37" s="9" t="n">
        <v>78846</v>
      </c>
      <c r="M37" s="9"/>
      <c r="N37" s="9"/>
      <c r="O37" s="7" t="s">
        <v>41</v>
      </c>
      <c r="P37" s="7" t="s">
        <v>117</v>
      </c>
      <c r="Q37" s="7" t="s">
        <v>90</v>
      </c>
      <c r="R37" s="7" t="s">
        <v>319</v>
      </c>
      <c r="S37" s="7" t="s">
        <v>274</v>
      </c>
      <c r="T37" s="7" t="s">
        <v>93</v>
      </c>
      <c r="U37" s="10"/>
      <c r="V37" s="7"/>
      <c r="W37" s="7"/>
      <c r="X37" s="7"/>
      <c r="Y37" s="7"/>
      <c r="Z37" s="7"/>
      <c r="AA37" s="7"/>
      <c r="AB37" s="8"/>
      <c r="AC37" s="6"/>
      <c r="AD37" s="6"/>
      <c r="AE37" s="6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8"/>
      <c r="AR37" s="9" t="str">
        <f aca="false">IFERROR(VLOOKUP($X37,Lotes!$A:$E,5,FALSE())*$U37,"")</f>
        <v/>
      </c>
      <c r="AS37" s="9" t="n">
        <f aca="false">IF($L37="","",$L37*2.6)</f>
        <v>204999.6</v>
      </c>
      <c r="AT37" s="9"/>
      <c r="AU37" s="9" t="n">
        <v>205000</v>
      </c>
      <c r="AV37" s="9" t="n">
        <v>151700</v>
      </c>
      <c r="AW37" s="9" t="n">
        <v>0</v>
      </c>
      <c r="AX37" s="7" t="s">
        <v>117</v>
      </c>
      <c r="AY37" s="7" t="s">
        <v>94</v>
      </c>
      <c r="AZ37" s="7"/>
      <c r="BA37" s="7" t="s">
        <v>320</v>
      </c>
      <c r="BB37" s="7" t="s">
        <v>321</v>
      </c>
      <c r="BC37" s="11" t="s">
        <v>322</v>
      </c>
      <c r="BD37" s="7" t="s">
        <v>98</v>
      </c>
      <c r="BE37" s="11" t="s">
        <v>99</v>
      </c>
    </row>
    <row r="38" customFormat="false" ht="23.85" hidden="false" customHeight="false" outlineLevel="0" collapsed="false">
      <c r="A38" s="6" t="n">
        <v>37</v>
      </c>
      <c r="B38" s="7" t="s">
        <v>268</v>
      </c>
      <c r="C38" s="7" t="s">
        <v>323</v>
      </c>
      <c r="D38" s="8" t="n">
        <v>0.35</v>
      </c>
      <c r="E38" s="7" t="s">
        <v>172</v>
      </c>
      <c r="F38" s="7" t="s">
        <v>86</v>
      </c>
      <c r="G38" s="6" t="n">
        <v>1</v>
      </c>
      <c r="H38" s="7" t="s">
        <v>101</v>
      </c>
      <c r="I38" s="7" t="s">
        <v>303</v>
      </c>
      <c r="J38" s="7" t="s">
        <v>324</v>
      </c>
      <c r="K38" s="7" t="s">
        <v>88</v>
      </c>
      <c r="L38" s="9" t="n">
        <v>64615</v>
      </c>
      <c r="M38" s="9"/>
      <c r="N38" s="9"/>
      <c r="O38" s="7" t="s">
        <v>108</v>
      </c>
      <c r="P38" s="7" t="s">
        <v>109</v>
      </c>
      <c r="Q38" s="7" t="s">
        <v>90</v>
      </c>
      <c r="R38" s="7" t="s">
        <v>325</v>
      </c>
      <c r="S38" s="7" t="s">
        <v>274</v>
      </c>
      <c r="T38" s="7" t="s">
        <v>111</v>
      </c>
      <c r="U38" s="10"/>
      <c r="V38" s="7"/>
      <c r="W38" s="7"/>
      <c r="X38" s="7"/>
      <c r="Y38" s="7"/>
      <c r="Z38" s="7"/>
      <c r="AA38" s="7"/>
      <c r="AB38" s="8"/>
      <c r="AC38" s="6"/>
      <c r="AD38" s="6"/>
      <c r="AE38" s="6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8"/>
      <c r="AR38" s="9" t="str">
        <f aca="false">IFERROR(VLOOKUP($X38,Lotes!$A:$E,5,FALSE())*$U38,"")</f>
        <v/>
      </c>
      <c r="AS38" s="9" t="n">
        <f aca="false">IF($L38="","",$L38*2.6)</f>
        <v>167999</v>
      </c>
      <c r="AT38" s="9"/>
      <c r="AU38" s="9" t="n">
        <v>168000</v>
      </c>
      <c r="AV38" s="9" t="n">
        <v>168000</v>
      </c>
      <c r="AW38" s="9" t="n">
        <v>168000</v>
      </c>
      <c r="AX38" s="7" t="s">
        <v>109</v>
      </c>
      <c r="AY38" s="7" t="s">
        <v>112</v>
      </c>
      <c r="AZ38" s="7"/>
      <c r="BA38" s="7" t="s">
        <v>326</v>
      </c>
      <c r="BB38" s="7" t="s">
        <v>327</v>
      </c>
      <c r="BC38" s="11" t="s">
        <v>328</v>
      </c>
      <c r="BD38" s="7" t="s">
        <v>98</v>
      </c>
      <c r="BE38" s="11" t="s">
        <v>99</v>
      </c>
    </row>
    <row r="39" customFormat="false" ht="15" hidden="false" customHeight="false" outlineLevel="0" collapsed="false">
      <c r="A39" s="6" t="n">
        <v>38</v>
      </c>
      <c r="B39" s="7" t="s">
        <v>268</v>
      </c>
      <c r="C39" s="7" t="s">
        <v>329</v>
      </c>
      <c r="D39" s="8" t="n">
        <v>0.5</v>
      </c>
      <c r="E39" s="7" t="s">
        <v>172</v>
      </c>
      <c r="F39" s="7" t="s">
        <v>86</v>
      </c>
      <c r="G39" s="6" t="n">
        <v>1</v>
      </c>
      <c r="H39" s="7" t="s">
        <v>124</v>
      </c>
      <c r="I39" s="7" t="s">
        <v>271</v>
      </c>
      <c r="J39" s="7" t="s">
        <v>330</v>
      </c>
      <c r="K39" s="7" t="s">
        <v>88</v>
      </c>
      <c r="L39" s="9" t="n">
        <v>240000</v>
      </c>
      <c r="M39" s="9"/>
      <c r="N39" s="9"/>
      <c r="O39" s="7" t="s">
        <v>41</v>
      </c>
      <c r="P39" s="7" t="s">
        <v>331</v>
      </c>
      <c r="Q39" s="7" t="s">
        <v>90</v>
      </c>
      <c r="R39" s="7" t="s">
        <v>332</v>
      </c>
      <c r="S39" s="7" t="s">
        <v>274</v>
      </c>
      <c r="T39" s="7" t="s">
        <v>93</v>
      </c>
      <c r="U39" s="10"/>
      <c r="V39" s="7"/>
      <c r="W39" s="7"/>
      <c r="X39" s="7"/>
      <c r="Y39" s="7"/>
      <c r="Z39" s="7"/>
      <c r="AA39" s="7"/>
      <c r="AB39" s="8"/>
      <c r="AC39" s="6"/>
      <c r="AD39" s="6"/>
      <c r="AE39" s="6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8"/>
      <c r="AR39" s="9" t="str">
        <f aca="false">IFERROR(VLOOKUP($X39,Lotes!$A:$E,5,FALSE())*$U39,"")</f>
        <v/>
      </c>
      <c r="AS39" s="9" t="n">
        <f aca="false">IF($L39="","",$L39*2.6)</f>
        <v>624000</v>
      </c>
      <c r="AT39" s="9"/>
      <c r="AU39" s="9" t="n">
        <v>360000</v>
      </c>
      <c r="AV39" s="9" t="n">
        <v>288000</v>
      </c>
      <c r="AW39" s="9" t="n">
        <v>0</v>
      </c>
      <c r="AX39" s="7" t="s">
        <v>331</v>
      </c>
      <c r="AY39" s="7" t="s">
        <v>94</v>
      </c>
      <c r="AZ39" s="7"/>
      <c r="BA39" s="7" t="s">
        <v>333</v>
      </c>
      <c r="BB39" s="7" t="s">
        <v>334</v>
      </c>
      <c r="BC39" s="11" t="s">
        <v>335</v>
      </c>
      <c r="BD39" s="7" t="s">
        <v>98</v>
      </c>
      <c r="BE39" s="11"/>
    </row>
    <row r="40" customFormat="false" ht="23.85" hidden="false" customHeight="false" outlineLevel="0" collapsed="false">
      <c r="A40" s="6" t="n">
        <v>39</v>
      </c>
      <c r="B40" s="7" t="s">
        <v>268</v>
      </c>
      <c r="C40" s="7" t="s">
        <v>336</v>
      </c>
      <c r="D40" s="8" t="n">
        <v>0.55</v>
      </c>
      <c r="E40" s="7" t="s">
        <v>172</v>
      </c>
      <c r="F40" s="7" t="s">
        <v>123</v>
      </c>
      <c r="G40" s="6" t="n">
        <v>1</v>
      </c>
      <c r="H40" s="7" t="s">
        <v>101</v>
      </c>
      <c r="I40" s="7" t="s">
        <v>271</v>
      </c>
      <c r="J40" s="7" t="s">
        <v>337</v>
      </c>
      <c r="K40" s="7" t="s">
        <v>88</v>
      </c>
      <c r="L40" s="9" t="n">
        <v>73077</v>
      </c>
      <c r="M40" s="9"/>
      <c r="N40" s="9"/>
      <c r="O40" s="7" t="s">
        <v>41</v>
      </c>
      <c r="P40" s="7" t="s">
        <v>102</v>
      </c>
      <c r="Q40" s="7" t="s">
        <v>90</v>
      </c>
      <c r="R40" s="7" t="s">
        <v>338</v>
      </c>
      <c r="S40" s="7" t="s">
        <v>274</v>
      </c>
      <c r="T40" s="7"/>
      <c r="U40" s="10"/>
      <c r="V40" s="7"/>
      <c r="W40" s="7"/>
      <c r="X40" s="7"/>
      <c r="Y40" s="7"/>
      <c r="Z40" s="7"/>
      <c r="AA40" s="7"/>
      <c r="AB40" s="8"/>
      <c r="AC40" s="6"/>
      <c r="AD40" s="6"/>
      <c r="AE40" s="6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8"/>
      <c r="AR40" s="9" t="str">
        <f aca="false">IFERROR(VLOOKUP($X40,Lotes!$A:$E,5,FALSE())*$U40,"")</f>
        <v/>
      </c>
      <c r="AS40" s="9" t="n">
        <f aca="false">IF($L40="","",$L40*2.6)</f>
        <v>190000.2</v>
      </c>
      <c r="AT40" s="9"/>
      <c r="AU40" s="9" t="n">
        <v>190000</v>
      </c>
      <c r="AV40" s="9" t="n">
        <v>190000</v>
      </c>
      <c r="AW40" s="9" t="n">
        <v>0</v>
      </c>
      <c r="AX40" s="7" t="s">
        <v>102</v>
      </c>
      <c r="AY40" s="7" t="s">
        <v>94</v>
      </c>
      <c r="AZ40" s="7"/>
      <c r="BA40" s="7" t="s">
        <v>339</v>
      </c>
      <c r="BB40" s="7" t="s">
        <v>340</v>
      </c>
      <c r="BC40" s="11" t="s">
        <v>341</v>
      </c>
      <c r="BD40" s="7" t="s">
        <v>98</v>
      </c>
      <c r="BE40" s="11" t="s">
        <v>99</v>
      </c>
    </row>
    <row r="41" customFormat="false" ht="23.85" hidden="false" customHeight="false" outlineLevel="0" collapsed="false">
      <c r="A41" s="6" t="n">
        <v>40</v>
      </c>
      <c r="B41" s="7" t="s">
        <v>268</v>
      </c>
      <c r="C41" s="7" t="s">
        <v>342</v>
      </c>
      <c r="D41" s="8" t="n">
        <v>0.48</v>
      </c>
      <c r="E41" s="7" t="s">
        <v>172</v>
      </c>
      <c r="F41" s="7" t="s">
        <v>123</v>
      </c>
      <c r="G41" s="6" t="n">
        <v>1</v>
      </c>
      <c r="H41" s="7" t="s">
        <v>87</v>
      </c>
      <c r="I41" s="7" t="s">
        <v>271</v>
      </c>
      <c r="J41" s="7" t="s">
        <v>343</v>
      </c>
      <c r="K41" s="7" t="s">
        <v>88</v>
      </c>
      <c r="L41" s="9" t="n">
        <v>85385</v>
      </c>
      <c r="M41" s="9"/>
      <c r="N41" s="9"/>
      <c r="O41" s="7" t="s">
        <v>41</v>
      </c>
      <c r="P41" s="7" t="s">
        <v>344</v>
      </c>
      <c r="Q41" s="7" t="s">
        <v>90</v>
      </c>
      <c r="R41" s="7" t="s">
        <v>345</v>
      </c>
      <c r="S41" s="7" t="s">
        <v>274</v>
      </c>
      <c r="T41" s="7" t="s">
        <v>93</v>
      </c>
      <c r="U41" s="10"/>
      <c r="V41" s="7"/>
      <c r="W41" s="7"/>
      <c r="X41" s="7"/>
      <c r="Y41" s="7"/>
      <c r="Z41" s="7"/>
      <c r="AA41" s="7"/>
      <c r="AB41" s="8"/>
      <c r="AC41" s="6"/>
      <c r="AD41" s="6"/>
      <c r="AE41" s="6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8"/>
      <c r="AR41" s="9" t="str">
        <f aca="false">IFERROR(VLOOKUP($X41,Lotes!$A:$E,5,FALSE())*$U41,"")</f>
        <v/>
      </c>
      <c r="AS41" s="9" t="n">
        <f aca="false">IF($L41="","",$L41*2.6)</f>
        <v>222001</v>
      </c>
      <c r="AT41" s="9"/>
      <c r="AU41" s="9" t="n">
        <v>222000</v>
      </c>
      <c r="AV41" s="9" t="n">
        <v>177600</v>
      </c>
      <c r="AW41" s="9" t="n">
        <v>0</v>
      </c>
      <c r="AX41" s="7" t="s">
        <v>344</v>
      </c>
      <c r="AY41" s="7" t="s">
        <v>94</v>
      </c>
      <c r="AZ41" s="7"/>
      <c r="BA41" s="7" t="s">
        <v>346</v>
      </c>
      <c r="BB41" s="7" t="s">
        <v>347</v>
      </c>
      <c r="BC41" s="11" t="s">
        <v>348</v>
      </c>
      <c r="BD41" s="7" t="s">
        <v>98</v>
      </c>
      <c r="BE41" s="11" t="s">
        <v>99</v>
      </c>
    </row>
    <row r="42" customFormat="false" ht="23.85" hidden="false" customHeight="false" outlineLevel="0" collapsed="false">
      <c r="A42" s="6" t="n">
        <v>41</v>
      </c>
      <c r="B42" s="7" t="s">
        <v>349</v>
      </c>
      <c r="C42" s="7" t="s">
        <v>350</v>
      </c>
      <c r="D42" s="8"/>
      <c r="E42" s="7" t="s">
        <v>245</v>
      </c>
      <c r="F42" s="7" t="s">
        <v>351</v>
      </c>
      <c r="G42" s="6" t="n">
        <v>1</v>
      </c>
      <c r="H42" s="7" t="s">
        <v>352</v>
      </c>
      <c r="I42" s="7"/>
      <c r="J42" s="7"/>
      <c r="K42" s="7" t="s">
        <v>353</v>
      </c>
      <c r="L42" s="9" t="n">
        <v>146154</v>
      </c>
      <c r="M42" s="9"/>
      <c r="N42" s="9"/>
      <c r="O42" s="7" t="s">
        <v>41</v>
      </c>
      <c r="P42" s="7" t="s">
        <v>354</v>
      </c>
      <c r="Q42" s="7" t="s">
        <v>90</v>
      </c>
      <c r="R42" s="7" t="s">
        <v>355</v>
      </c>
      <c r="S42" s="7" t="s">
        <v>356</v>
      </c>
      <c r="T42" s="7" t="s">
        <v>93</v>
      </c>
      <c r="U42" s="10"/>
      <c r="V42" s="7"/>
      <c r="W42" s="7"/>
      <c r="X42" s="7"/>
      <c r="Y42" s="7"/>
      <c r="Z42" s="7"/>
      <c r="AA42" s="7"/>
      <c r="AB42" s="8"/>
      <c r="AC42" s="6"/>
      <c r="AD42" s="6"/>
      <c r="AE42" s="6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8"/>
      <c r="AR42" s="9" t="str">
        <f aca="false">IFERROR(VLOOKUP($X42,Lotes!$A:$E,5,FALSE())*$U42,"")</f>
        <v/>
      </c>
      <c r="AS42" s="9" t="n">
        <f aca="false">IF($L42="","",$L42*2.6)</f>
        <v>380000.4</v>
      </c>
      <c r="AT42" s="9"/>
      <c r="AU42" s="9" t="n">
        <v>380000</v>
      </c>
      <c r="AV42" s="9" t="n">
        <v>380000</v>
      </c>
      <c r="AW42" s="9" t="n">
        <v>0</v>
      </c>
      <c r="AX42" s="7" t="s">
        <v>354</v>
      </c>
      <c r="AY42" s="7" t="s">
        <v>94</v>
      </c>
      <c r="AZ42" s="7"/>
      <c r="BA42" s="7" t="s">
        <v>357</v>
      </c>
      <c r="BB42" s="7" t="s">
        <v>358</v>
      </c>
      <c r="BC42" s="11" t="s">
        <v>359</v>
      </c>
      <c r="BD42" s="7" t="s">
        <v>98</v>
      </c>
      <c r="BE42" s="11" t="s">
        <v>99</v>
      </c>
    </row>
    <row r="43" customFormat="false" ht="46.25" hidden="false" customHeight="false" outlineLevel="0" collapsed="false">
      <c r="A43" s="6" t="n">
        <v>42</v>
      </c>
      <c r="B43" s="7" t="s">
        <v>360</v>
      </c>
      <c r="C43" s="7" t="s">
        <v>361</v>
      </c>
      <c r="D43" s="8"/>
      <c r="E43" s="7" t="s">
        <v>245</v>
      </c>
      <c r="F43" s="7" t="s">
        <v>351</v>
      </c>
      <c r="G43" s="6" t="n">
        <v>1</v>
      </c>
      <c r="H43" s="7" t="s">
        <v>362</v>
      </c>
      <c r="I43" s="7"/>
      <c r="J43" s="7"/>
      <c r="K43" s="7" t="s">
        <v>353</v>
      </c>
      <c r="L43" s="9" t="n">
        <v>380000</v>
      </c>
      <c r="M43" s="9"/>
      <c r="N43" s="9"/>
      <c r="O43" s="7" t="s">
        <v>41</v>
      </c>
      <c r="P43" s="7" t="s">
        <v>363</v>
      </c>
      <c r="Q43" s="7" t="s">
        <v>90</v>
      </c>
      <c r="R43" s="7" t="s">
        <v>364</v>
      </c>
      <c r="S43" s="7" t="s">
        <v>356</v>
      </c>
      <c r="T43" s="7" t="s">
        <v>93</v>
      </c>
      <c r="U43" s="10"/>
      <c r="V43" s="7"/>
      <c r="W43" s="7"/>
      <c r="X43" s="7"/>
      <c r="Y43" s="7"/>
      <c r="Z43" s="7"/>
      <c r="AA43" s="7"/>
      <c r="AB43" s="8"/>
      <c r="AC43" s="6"/>
      <c r="AD43" s="6"/>
      <c r="AE43" s="6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8"/>
      <c r="AR43" s="9" t="str">
        <f aca="false">IFERROR(VLOOKUP($X43,Lotes!$A:$E,5,FALSE())*$U43,"")</f>
        <v/>
      </c>
      <c r="AS43" s="9" t="n">
        <f aca="false">IF($L43="","",$L43*2.6)</f>
        <v>988000</v>
      </c>
      <c r="AT43" s="9"/>
      <c r="AU43" s="9" t="n">
        <v>570000</v>
      </c>
      <c r="AV43" s="9" t="n">
        <v>380760</v>
      </c>
      <c r="AW43" s="9" t="n">
        <v>760</v>
      </c>
      <c r="AX43" s="7" t="s">
        <v>365</v>
      </c>
      <c r="AY43" s="7" t="s">
        <v>94</v>
      </c>
      <c r="AZ43" s="7"/>
      <c r="BA43" s="7" t="s">
        <v>366</v>
      </c>
      <c r="BB43" s="7" t="s">
        <v>367</v>
      </c>
      <c r="BC43" s="11" t="s">
        <v>368</v>
      </c>
      <c r="BD43" s="7" t="s">
        <v>98</v>
      </c>
      <c r="BE43" s="11" t="s">
        <v>369</v>
      </c>
    </row>
    <row r="44" customFormat="false" ht="23.85" hidden="false" customHeight="false" outlineLevel="0" collapsed="false">
      <c r="A44" s="6" t="n">
        <v>43</v>
      </c>
      <c r="B44" s="7" t="s">
        <v>360</v>
      </c>
      <c r="C44" s="7" t="s">
        <v>370</v>
      </c>
      <c r="D44" s="8"/>
      <c r="E44" s="7" t="s">
        <v>245</v>
      </c>
      <c r="F44" s="7" t="s">
        <v>148</v>
      </c>
      <c r="G44" s="6" t="n">
        <v>3</v>
      </c>
      <c r="H44" s="7" t="s">
        <v>87</v>
      </c>
      <c r="I44" s="7"/>
      <c r="J44" s="7"/>
      <c r="K44" s="7" t="s">
        <v>371</v>
      </c>
      <c r="L44" s="9" t="n">
        <v>85087</v>
      </c>
      <c r="M44" s="9"/>
      <c r="N44" s="9"/>
      <c r="O44" s="7" t="s">
        <v>108</v>
      </c>
      <c r="P44" s="7" t="s">
        <v>372</v>
      </c>
      <c r="Q44" s="7" t="s">
        <v>90</v>
      </c>
      <c r="R44" s="7" t="s">
        <v>373</v>
      </c>
      <c r="S44" s="7" t="s">
        <v>356</v>
      </c>
      <c r="T44" s="7" t="s">
        <v>93</v>
      </c>
      <c r="U44" s="10"/>
      <c r="V44" s="7"/>
      <c r="W44" s="7"/>
      <c r="X44" s="7"/>
      <c r="Y44" s="7"/>
      <c r="Z44" s="7"/>
      <c r="AA44" s="7"/>
      <c r="AB44" s="8"/>
      <c r="AC44" s="6"/>
      <c r="AD44" s="6"/>
      <c r="AE44" s="6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8"/>
      <c r="AR44" s="9" t="str">
        <f aca="false">IFERROR(VLOOKUP($X44,Lotes!$A:$E,5,FALSE())*$U44,"")</f>
        <v/>
      </c>
      <c r="AS44" s="9" t="n">
        <f aca="false">IF($L44="","",$L44*2.6)</f>
        <v>221226.2</v>
      </c>
      <c r="AT44" s="9"/>
      <c r="AU44" s="9" t="n">
        <v>221226</v>
      </c>
      <c r="AV44" s="9" t="n">
        <v>221226</v>
      </c>
      <c r="AW44" s="9" t="n">
        <v>0</v>
      </c>
      <c r="AX44" s="7" t="s">
        <v>372</v>
      </c>
      <c r="AY44" s="7" t="s">
        <v>94</v>
      </c>
      <c r="AZ44" s="7"/>
      <c r="BA44" s="7" t="s">
        <v>374</v>
      </c>
      <c r="BB44" s="7" t="s">
        <v>375</v>
      </c>
      <c r="BC44" s="11" t="s">
        <v>376</v>
      </c>
      <c r="BD44" s="7" t="s">
        <v>98</v>
      </c>
      <c r="BE44" s="11" t="s">
        <v>99</v>
      </c>
    </row>
    <row r="45" customFormat="false" ht="68.65" hidden="false" customHeight="false" outlineLevel="0" collapsed="false">
      <c r="A45" s="6" t="n">
        <v>44</v>
      </c>
      <c r="B45" s="7" t="s">
        <v>377</v>
      </c>
      <c r="C45" s="7" t="s">
        <v>378</v>
      </c>
      <c r="D45" s="8" t="n">
        <v>1.64</v>
      </c>
      <c r="E45" s="7" t="s">
        <v>85</v>
      </c>
      <c r="F45" s="7" t="s">
        <v>270</v>
      </c>
      <c r="G45" s="6" t="n">
        <v>1</v>
      </c>
      <c r="H45" s="7" t="s">
        <v>87</v>
      </c>
      <c r="I45" s="7"/>
      <c r="J45" s="7"/>
      <c r="K45" s="7" t="s">
        <v>88</v>
      </c>
      <c r="L45" s="9" t="n">
        <v>2064615</v>
      </c>
      <c r="M45" s="9"/>
      <c r="N45" s="9"/>
      <c r="O45" s="7" t="s">
        <v>41</v>
      </c>
      <c r="P45" s="7" t="s">
        <v>125</v>
      </c>
      <c r="Q45" s="7" t="s">
        <v>90</v>
      </c>
      <c r="R45" s="7" t="s">
        <v>379</v>
      </c>
      <c r="S45" s="7" t="s">
        <v>356</v>
      </c>
      <c r="T45" s="7" t="s">
        <v>93</v>
      </c>
      <c r="U45" s="10"/>
      <c r="V45" s="7"/>
      <c r="W45" s="7"/>
      <c r="X45" s="7"/>
      <c r="Y45" s="7"/>
      <c r="Z45" s="7"/>
      <c r="AA45" s="7"/>
      <c r="AB45" s="8"/>
      <c r="AC45" s="6"/>
      <c r="AD45" s="6"/>
      <c r="AE45" s="6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8"/>
      <c r="AR45" s="9" t="str">
        <f aca="false">IFERROR(VLOOKUP($X45,Lotes!$A:$E,5,FALSE())*$U45,"")</f>
        <v/>
      </c>
      <c r="AS45" s="9" t="n">
        <f aca="false">IF($L45="","",$L45*2.6)</f>
        <v>5367999</v>
      </c>
      <c r="AT45" s="9"/>
      <c r="AU45" s="9" t="n">
        <v>5368000</v>
      </c>
      <c r="AV45" s="9" t="n">
        <v>5368000</v>
      </c>
      <c r="AW45" s="9" t="n">
        <v>5368000</v>
      </c>
      <c r="AX45" s="7" t="s">
        <v>127</v>
      </c>
      <c r="AY45" s="7" t="s">
        <v>380</v>
      </c>
      <c r="AZ45" s="7"/>
      <c r="BA45" s="7" t="s">
        <v>381</v>
      </c>
      <c r="BB45" s="7" t="s">
        <v>382</v>
      </c>
      <c r="BC45" s="11" t="s">
        <v>383</v>
      </c>
      <c r="BD45" s="7" t="s">
        <v>98</v>
      </c>
      <c r="BE45" s="11" t="s">
        <v>131</v>
      </c>
    </row>
    <row r="46" customFormat="false" ht="35.05" hidden="false" customHeight="false" outlineLevel="0" collapsed="false">
      <c r="A46" s="6" t="n">
        <v>45</v>
      </c>
      <c r="B46" s="7" t="s">
        <v>384</v>
      </c>
      <c r="C46" s="7" t="s">
        <v>385</v>
      </c>
      <c r="D46" s="8" t="n">
        <v>1.3</v>
      </c>
      <c r="E46" s="7" t="s">
        <v>386</v>
      </c>
      <c r="F46" s="7" t="s">
        <v>270</v>
      </c>
      <c r="G46" s="6" t="n">
        <v>1</v>
      </c>
      <c r="H46" s="7" t="s">
        <v>87</v>
      </c>
      <c r="I46" s="7" t="s">
        <v>271</v>
      </c>
      <c r="J46" s="7" t="s">
        <v>387</v>
      </c>
      <c r="K46" s="7" t="s">
        <v>88</v>
      </c>
      <c r="L46" s="9" t="n">
        <v>2046154</v>
      </c>
      <c r="M46" s="9"/>
      <c r="N46" s="9"/>
      <c r="O46" s="7" t="s">
        <v>41</v>
      </c>
      <c r="P46" s="7" t="s">
        <v>218</v>
      </c>
      <c r="Q46" s="7" t="s">
        <v>90</v>
      </c>
      <c r="R46" s="7" t="s">
        <v>388</v>
      </c>
      <c r="S46" s="7" t="s">
        <v>356</v>
      </c>
      <c r="T46" s="7" t="s">
        <v>93</v>
      </c>
      <c r="U46" s="10"/>
      <c r="V46" s="7"/>
      <c r="W46" s="7"/>
      <c r="X46" s="7"/>
      <c r="Y46" s="7"/>
      <c r="Z46" s="7"/>
      <c r="AA46" s="7"/>
      <c r="AB46" s="8"/>
      <c r="AC46" s="6"/>
      <c r="AD46" s="6"/>
      <c r="AE46" s="6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8"/>
      <c r="AR46" s="9" t="str">
        <f aca="false">IFERROR(VLOOKUP($X46,Lotes!$A:$E,5,FALSE())*$U46,"")</f>
        <v/>
      </c>
      <c r="AS46" s="9" t="n">
        <f aca="false">IF($L46="","",$L46*2.6)</f>
        <v>5320000.4</v>
      </c>
      <c r="AT46" s="9"/>
      <c r="AU46" s="9" t="n">
        <v>5320000</v>
      </c>
      <c r="AV46" s="9" t="n">
        <v>5160400</v>
      </c>
      <c r="AW46" s="9" t="n">
        <v>0</v>
      </c>
      <c r="AX46" s="7" t="s">
        <v>218</v>
      </c>
      <c r="AY46" s="7" t="s">
        <v>94</v>
      </c>
      <c r="AZ46" s="7"/>
      <c r="BA46" s="7" t="s">
        <v>389</v>
      </c>
      <c r="BB46" s="7" t="s">
        <v>390</v>
      </c>
      <c r="BC46" s="11" t="s">
        <v>391</v>
      </c>
      <c r="BD46" s="7" t="s">
        <v>98</v>
      </c>
      <c r="BE46" s="11" t="s">
        <v>392</v>
      </c>
    </row>
    <row r="47" customFormat="false" ht="79.85" hidden="false" customHeight="false" outlineLevel="0" collapsed="false">
      <c r="A47" s="6" t="n">
        <v>46</v>
      </c>
      <c r="B47" s="7" t="s">
        <v>384</v>
      </c>
      <c r="C47" s="7" t="s">
        <v>393</v>
      </c>
      <c r="D47" s="8" t="n">
        <v>2.63</v>
      </c>
      <c r="E47" s="7" t="s">
        <v>386</v>
      </c>
      <c r="F47" s="7" t="s">
        <v>270</v>
      </c>
      <c r="G47" s="6" t="n">
        <v>1</v>
      </c>
      <c r="H47" s="7" t="s">
        <v>394</v>
      </c>
      <c r="I47" s="7" t="s">
        <v>271</v>
      </c>
      <c r="J47" s="7" t="s">
        <v>395</v>
      </c>
      <c r="K47" s="7" t="s">
        <v>88</v>
      </c>
      <c r="L47" s="9" t="n">
        <v>3679487</v>
      </c>
      <c r="M47" s="9"/>
      <c r="N47" s="9"/>
      <c r="O47" s="7" t="s">
        <v>41</v>
      </c>
      <c r="P47" s="7" t="s">
        <v>344</v>
      </c>
      <c r="Q47" s="7" t="s">
        <v>155</v>
      </c>
      <c r="R47" s="7" t="s">
        <v>396</v>
      </c>
      <c r="S47" s="7" t="s">
        <v>356</v>
      </c>
      <c r="T47" s="7"/>
      <c r="U47" s="10"/>
      <c r="V47" s="7"/>
      <c r="W47" s="7"/>
      <c r="X47" s="7"/>
      <c r="Y47" s="7"/>
      <c r="Z47" s="7"/>
      <c r="AA47" s="7"/>
      <c r="AB47" s="8"/>
      <c r="AC47" s="6"/>
      <c r="AD47" s="6"/>
      <c r="AE47" s="6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8"/>
      <c r="AR47" s="9" t="str">
        <f aca="false">IFERROR(VLOOKUP($X47,Lotes!$A:$E,5,FALSE())*$U47,"")</f>
        <v/>
      </c>
      <c r="AS47" s="9" t="n">
        <f aca="false">IF($L47="","",$L47*2.6)</f>
        <v>9566666.2</v>
      </c>
      <c r="AT47" s="9"/>
      <c r="AU47" s="9" t="n">
        <v>9566667</v>
      </c>
      <c r="AV47" s="9" t="n">
        <v>9566667</v>
      </c>
      <c r="AW47" s="9" t="n">
        <v>0</v>
      </c>
      <c r="AX47" s="7" t="s">
        <v>109</v>
      </c>
      <c r="AY47" s="7" t="s">
        <v>397</v>
      </c>
      <c r="AZ47" s="7"/>
      <c r="BA47" s="7" t="s">
        <v>398</v>
      </c>
      <c r="BB47" s="7" t="s">
        <v>399</v>
      </c>
      <c r="BC47" s="11" t="s">
        <v>400</v>
      </c>
      <c r="BD47" s="7" t="s">
        <v>98</v>
      </c>
      <c r="BE47" s="11" t="s">
        <v>401</v>
      </c>
    </row>
    <row r="48" customFormat="false" ht="23.85" hidden="false" customHeight="false" outlineLevel="0" collapsed="false">
      <c r="A48" s="6" t="n">
        <v>47</v>
      </c>
      <c r="B48" s="7" t="s">
        <v>384</v>
      </c>
      <c r="C48" s="7" t="s">
        <v>402</v>
      </c>
      <c r="D48" s="8" t="n">
        <v>1.85</v>
      </c>
      <c r="E48" s="7" t="s">
        <v>403</v>
      </c>
      <c r="F48" s="7" t="s">
        <v>311</v>
      </c>
      <c r="G48" s="6" t="n">
        <v>1</v>
      </c>
      <c r="H48" s="7" t="s">
        <v>404</v>
      </c>
      <c r="I48" s="7" t="s">
        <v>271</v>
      </c>
      <c r="J48" s="7" t="s">
        <v>405</v>
      </c>
      <c r="K48" s="7" t="s">
        <v>88</v>
      </c>
      <c r="L48" s="9" t="n">
        <v>10615385</v>
      </c>
      <c r="M48" s="9"/>
      <c r="N48" s="9"/>
      <c r="O48" s="7" t="s">
        <v>41</v>
      </c>
      <c r="P48" s="7" t="s">
        <v>344</v>
      </c>
      <c r="Q48" s="7" t="s">
        <v>90</v>
      </c>
      <c r="R48" s="7" t="s">
        <v>406</v>
      </c>
      <c r="S48" s="7" t="s">
        <v>356</v>
      </c>
      <c r="T48" s="7" t="s">
        <v>93</v>
      </c>
      <c r="U48" s="10"/>
      <c r="V48" s="7"/>
      <c r="W48" s="7"/>
      <c r="X48" s="7"/>
      <c r="Y48" s="7"/>
      <c r="Z48" s="7"/>
      <c r="AA48" s="7"/>
      <c r="AB48" s="8"/>
      <c r="AC48" s="6"/>
      <c r="AD48" s="6"/>
      <c r="AE48" s="6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8"/>
      <c r="AR48" s="9" t="str">
        <f aca="false">IFERROR(VLOOKUP($X48,Lotes!$A:$E,5,FALSE())*$U48,"")</f>
        <v/>
      </c>
      <c r="AS48" s="9" t="n">
        <f aca="false">IF($L48="","",$L48*2.6)</f>
        <v>27600001</v>
      </c>
      <c r="AT48" s="9"/>
      <c r="AU48" s="9" t="n">
        <v>27600000</v>
      </c>
      <c r="AV48" s="9" t="n">
        <v>16698000</v>
      </c>
      <c r="AW48" s="9" t="n">
        <v>-2000</v>
      </c>
      <c r="AX48" s="7" t="s">
        <v>344</v>
      </c>
      <c r="AY48" s="7" t="s">
        <v>407</v>
      </c>
      <c r="AZ48" s="7"/>
      <c r="BA48" s="7" t="s">
        <v>408</v>
      </c>
      <c r="BB48" s="7" t="s">
        <v>409</v>
      </c>
      <c r="BC48" s="11" t="s">
        <v>410</v>
      </c>
      <c r="BD48" s="7" t="s">
        <v>98</v>
      </c>
      <c r="BE48" s="11" t="s">
        <v>99</v>
      </c>
    </row>
    <row r="49" customFormat="false" ht="23.85" hidden="false" customHeight="false" outlineLevel="0" collapsed="false">
      <c r="A49" s="6" t="n">
        <v>48</v>
      </c>
      <c r="B49" s="7" t="s">
        <v>411</v>
      </c>
      <c r="C49" s="7" t="s">
        <v>412</v>
      </c>
      <c r="D49" s="8"/>
      <c r="E49" s="7" t="s">
        <v>245</v>
      </c>
      <c r="F49" s="7" t="s">
        <v>351</v>
      </c>
      <c r="G49" s="6" t="n">
        <v>1</v>
      </c>
      <c r="H49" s="7" t="s">
        <v>413</v>
      </c>
      <c r="I49" s="7"/>
      <c r="J49" s="7"/>
      <c r="K49" s="7" t="s">
        <v>353</v>
      </c>
      <c r="L49" s="9" t="n">
        <v>107692</v>
      </c>
      <c r="M49" s="9"/>
      <c r="N49" s="9"/>
      <c r="O49" s="7" t="s">
        <v>41</v>
      </c>
      <c r="P49" s="7" t="s">
        <v>331</v>
      </c>
      <c r="Q49" s="7" t="s">
        <v>90</v>
      </c>
      <c r="R49" s="7" t="s">
        <v>414</v>
      </c>
      <c r="S49" s="7" t="s">
        <v>356</v>
      </c>
      <c r="T49" s="7" t="s">
        <v>93</v>
      </c>
      <c r="U49" s="10"/>
      <c r="V49" s="7"/>
      <c r="W49" s="7"/>
      <c r="X49" s="7"/>
      <c r="Y49" s="7"/>
      <c r="Z49" s="7"/>
      <c r="AA49" s="7"/>
      <c r="AB49" s="8"/>
      <c r="AC49" s="6"/>
      <c r="AD49" s="6"/>
      <c r="AE49" s="6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8"/>
      <c r="AR49" s="9" t="str">
        <f aca="false">IFERROR(VLOOKUP($X49,Lotes!$A:$E,5,FALSE())*$U49,"")</f>
        <v/>
      </c>
      <c r="AS49" s="9" t="n">
        <f aca="false">IF($L49="","",$L49*2.6)</f>
        <v>279999.2</v>
      </c>
      <c r="AT49" s="9"/>
      <c r="AU49" s="9" t="n">
        <v>280000</v>
      </c>
      <c r="AV49" s="9" t="n">
        <v>280000</v>
      </c>
      <c r="AW49" s="9" t="n">
        <v>0</v>
      </c>
      <c r="AX49" s="7" t="s">
        <v>331</v>
      </c>
      <c r="AY49" s="7" t="s">
        <v>94</v>
      </c>
      <c r="AZ49" s="7"/>
      <c r="BA49" s="7" t="s">
        <v>415</v>
      </c>
      <c r="BB49" s="7" t="s">
        <v>416</v>
      </c>
      <c r="BC49" s="11" t="s">
        <v>417</v>
      </c>
      <c r="BD49" s="7" t="s">
        <v>98</v>
      </c>
      <c r="BE49" s="11" t="s">
        <v>99</v>
      </c>
    </row>
    <row r="50" customFormat="false" ht="23.85" hidden="false" customHeight="false" outlineLevel="0" collapsed="false">
      <c r="A50" s="6" t="n">
        <v>49</v>
      </c>
      <c r="B50" s="7" t="s">
        <v>418</v>
      </c>
      <c r="C50" s="7" t="s">
        <v>419</v>
      </c>
      <c r="D50" s="8"/>
      <c r="E50" s="7" t="s">
        <v>172</v>
      </c>
      <c r="F50" s="7" t="s">
        <v>86</v>
      </c>
      <c r="G50" s="6" t="n">
        <v>1</v>
      </c>
      <c r="H50" s="7" t="s">
        <v>362</v>
      </c>
      <c r="I50" s="7"/>
      <c r="J50" s="7"/>
      <c r="K50" s="7" t="s">
        <v>353</v>
      </c>
      <c r="L50" s="9" t="n">
        <v>145299</v>
      </c>
      <c r="M50" s="9"/>
      <c r="N50" s="9"/>
      <c r="O50" s="7" t="s">
        <v>41</v>
      </c>
      <c r="P50" s="7" t="s">
        <v>102</v>
      </c>
      <c r="Q50" s="7" t="s">
        <v>90</v>
      </c>
      <c r="R50" s="7" t="s">
        <v>420</v>
      </c>
      <c r="S50" s="7" t="s">
        <v>421</v>
      </c>
      <c r="T50" s="7" t="s">
        <v>93</v>
      </c>
      <c r="U50" s="10"/>
      <c r="V50" s="7"/>
      <c r="W50" s="7"/>
      <c r="X50" s="7"/>
      <c r="Y50" s="7"/>
      <c r="Z50" s="7"/>
      <c r="AA50" s="7"/>
      <c r="AB50" s="8"/>
      <c r="AC50" s="6"/>
      <c r="AD50" s="6"/>
      <c r="AE50" s="6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8"/>
      <c r="AR50" s="9" t="str">
        <f aca="false">IFERROR(VLOOKUP($X50,Lotes!$A:$E,5,FALSE())*$U50,"")</f>
        <v/>
      </c>
      <c r="AS50" s="9" t="n">
        <f aca="false">IF($L50="","",$L50*2.6)</f>
        <v>377777.4</v>
      </c>
      <c r="AT50" s="9"/>
      <c r="AU50" s="9" t="n">
        <v>377778</v>
      </c>
      <c r="AV50" s="9" t="n">
        <v>290889.06</v>
      </c>
      <c r="AW50" s="9" t="n">
        <v>0</v>
      </c>
      <c r="AX50" s="7" t="s">
        <v>102</v>
      </c>
      <c r="AY50" s="7" t="s">
        <v>94</v>
      </c>
      <c r="AZ50" s="7"/>
      <c r="BA50" s="7" t="s">
        <v>422</v>
      </c>
      <c r="BB50" s="7" t="s">
        <v>423</v>
      </c>
      <c r="BC50" s="11" t="s">
        <v>424</v>
      </c>
      <c r="BD50" s="7" t="s">
        <v>98</v>
      </c>
      <c r="BE50" s="11" t="s">
        <v>99</v>
      </c>
    </row>
    <row r="51" customFormat="false" ht="68.65" hidden="false" customHeight="false" outlineLevel="0" collapsed="false">
      <c r="A51" s="6" t="n">
        <v>50</v>
      </c>
      <c r="B51" s="7" t="s">
        <v>418</v>
      </c>
      <c r="C51" s="7" t="s">
        <v>425</v>
      </c>
      <c r="D51" s="8"/>
      <c r="E51" s="7" t="s">
        <v>245</v>
      </c>
      <c r="F51" s="7" t="s">
        <v>148</v>
      </c>
      <c r="G51" s="6" t="n">
        <v>1</v>
      </c>
      <c r="H51" s="7" t="s">
        <v>426</v>
      </c>
      <c r="I51" s="7"/>
      <c r="J51" s="7"/>
      <c r="K51" s="7" t="s">
        <v>353</v>
      </c>
      <c r="L51" s="9" t="n">
        <v>130769</v>
      </c>
      <c r="M51" s="9"/>
      <c r="N51" s="9"/>
      <c r="O51" s="7" t="s">
        <v>41</v>
      </c>
      <c r="P51" s="7" t="s">
        <v>102</v>
      </c>
      <c r="Q51" s="7" t="s">
        <v>90</v>
      </c>
      <c r="R51" s="7" t="s">
        <v>427</v>
      </c>
      <c r="S51" s="7" t="s">
        <v>421</v>
      </c>
      <c r="T51" s="7" t="s">
        <v>93</v>
      </c>
      <c r="U51" s="10"/>
      <c r="V51" s="7"/>
      <c r="W51" s="7"/>
      <c r="X51" s="7"/>
      <c r="Y51" s="7"/>
      <c r="Z51" s="7"/>
      <c r="AA51" s="7"/>
      <c r="AB51" s="8"/>
      <c r="AC51" s="6"/>
      <c r="AD51" s="6"/>
      <c r="AE51" s="6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8"/>
      <c r="AR51" s="9" t="str">
        <f aca="false">IFERROR(VLOOKUP($X51,Lotes!$A:$E,5,FALSE())*$U51,"")</f>
        <v/>
      </c>
      <c r="AS51" s="9" t="n">
        <f aca="false">IF($L51="","",$L51*2.6)</f>
        <v>339999.4</v>
      </c>
      <c r="AT51" s="9"/>
      <c r="AU51" s="9" t="n">
        <v>340000</v>
      </c>
      <c r="AV51" s="9" t="n">
        <v>261800</v>
      </c>
      <c r="AW51" s="9" t="n">
        <v>0</v>
      </c>
      <c r="AX51" s="7" t="s">
        <v>428</v>
      </c>
      <c r="AY51" s="7" t="s">
        <v>94</v>
      </c>
      <c r="AZ51" s="7"/>
      <c r="BA51" s="7" t="s">
        <v>429</v>
      </c>
      <c r="BB51" s="7" t="s">
        <v>430</v>
      </c>
      <c r="BC51" s="11" t="s">
        <v>431</v>
      </c>
      <c r="BD51" s="7" t="s">
        <v>98</v>
      </c>
      <c r="BE51" s="11" t="s">
        <v>432</v>
      </c>
    </row>
    <row r="52" customFormat="false" ht="23.85" hidden="false" customHeight="false" outlineLevel="0" collapsed="false">
      <c r="A52" s="6" t="n">
        <v>51</v>
      </c>
      <c r="B52" s="7" t="s">
        <v>418</v>
      </c>
      <c r="C52" s="7" t="s">
        <v>433</v>
      </c>
      <c r="D52" s="8"/>
      <c r="E52" s="7" t="s">
        <v>245</v>
      </c>
      <c r="F52" s="7" t="s">
        <v>86</v>
      </c>
      <c r="G52" s="6" t="n">
        <v>1</v>
      </c>
      <c r="H52" s="7" t="s">
        <v>413</v>
      </c>
      <c r="I52" s="7"/>
      <c r="J52" s="7"/>
      <c r="K52" s="7" t="s">
        <v>353</v>
      </c>
      <c r="L52" s="9" t="n">
        <v>145299</v>
      </c>
      <c r="M52" s="9"/>
      <c r="N52" s="9"/>
      <c r="O52" s="7" t="s">
        <v>41</v>
      </c>
      <c r="P52" s="7" t="s">
        <v>234</v>
      </c>
      <c r="Q52" s="7" t="s">
        <v>90</v>
      </c>
      <c r="R52" s="7" t="s">
        <v>434</v>
      </c>
      <c r="S52" s="7" t="s">
        <v>421</v>
      </c>
      <c r="T52" s="7" t="s">
        <v>208</v>
      </c>
      <c r="U52" s="10"/>
      <c r="V52" s="7"/>
      <c r="W52" s="7"/>
      <c r="X52" s="7"/>
      <c r="Y52" s="7"/>
      <c r="Z52" s="7"/>
      <c r="AA52" s="7"/>
      <c r="AB52" s="8"/>
      <c r="AC52" s="6"/>
      <c r="AD52" s="6"/>
      <c r="AE52" s="6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8"/>
      <c r="AR52" s="9" t="str">
        <f aca="false">IFERROR(VLOOKUP($X52,Lotes!$A:$E,5,FALSE())*$U52,"")</f>
        <v/>
      </c>
      <c r="AS52" s="9" t="n">
        <f aca="false">IF($L52="","",$L52*2.6)</f>
        <v>377777.4</v>
      </c>
      <c r="AT52" s="9"/>
      <c r="AU52" s="9" t="n">
        <v>377778</v>
      </c>
      <c r="AV52" s="9" t="n">
        <v>377778</v>
      </c>
      <c r="AW52" s="9" t="n">
        <v>207778</v>
      </c>
      <c r="AX52" s="7" t="s">
        <v>234</v>
      </c>
      <c r="AY52" s="7" t="s">
        <v>112</v>
      </c>
      <c r="AZ52" s="7"/>
      <c r="BA52" s="7" t="s">
        <v>435</v>
      </c>
      <c r="BB52" s="7" t="s">
        <v>436</v>
      </c>
      <c r="BC52" s="11" t="s">
        <v>437</v>
      </c>
      <c r="BD52" s="7" t="s">
        <v>98</v>
      </c>
      <c r="BE52" s="11" t="s">
        <v>99</v>
      </c>
    </row>
    <row r="53" customFormat="false" ht="68.65" hidden="false" customHeight="false" outlineLevel="0" collapsed="false">
      <c r="A53" s="6" t="n">
        <v>52</v>
      </c>
      <c r="B53" s="7" t="s">
        <v>418</v>
      </c>
      <c r="C53" s="7" t="s">
        <v>438</v>
      </c>
      <c r="D53" s="8"/>
      <c r="E53" s="7" t="s">
        <v>245</v>
      </c>
      <c r="F53" s="7" t="s">
        <v>123</v>
      </c>
      <c r="G53" s="6" t="n">
        <v>1</v>
      </c>
      <c r="H53" s="7" t="s">
        <v>426</v>
      </c>
      <c r="I53" s="7"/>
      <c r="J53" s="7"/>
      <c r="K53" s="7" t="s">
        <v>353</v>
      </c>
      <c r="L53" s="9" t="n">
        <v>130769</v>
      </c>
      <c r="M53" s="9"/>
      <c r="N53" s="9"/>
      <c r="O53" s="7" t="s">
        <v>154</v>
      </c>
      <c r="P53" s="7" t="s">
        <v>89</v>
      </c>
      <c r="Q53" s="7" t="s">
        <v>155</v>
      </c>
      <c r="R53" s="7" t="s">
        <v>439</v>
      </c>
      <c r="S53" s="7" t="s">
        <v>421</v>
      </c>
      <c r="T53" s="7"/>
      <c r="U53" s="10"/>
      <c r="V53" s="7"/>
      <c r="W53" s="7"/>
      <c r="X53" s="7"/>
      <c r="Y53" s="7"/>
      <c r="Z53" s="7"/>
      <c r="AA53" s="7"/>
      <c r="AB53" s="8"/>
      <c r="AC53" s="6"/>
      <c r="AD53" s="6"/>
      <c r="AE53" s="6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8"/>
      <c r="AR53" s="9" t="str">
        <f aca="false">IFERROR(VLOOKUP($X53,Lotes!$A:$E,5,FALSE())*$U53,"")</f>
        <v/>
      </c>
      <c r="AS53" s="9" t="n">
        <f aca="false">IF($L53="","",$L53*2.6)</f>
        <v>339999.4</v>
      </c>
      <c r="AT53" s="9"/>
      <c r="AU53" s="9" t="n">
        <v>340000</v>
      </c>
      <c r="AV53" s="9" t="n">
        <v>340000</v>
      </c>
      <c r="AW53" s="9" t="n">
        <v>340000</v>
      </c>
      <c r="AX53" s="7" t="s">
        <v>159</v>
      </c>
      <c r="AY53" s="7" t="s">
        <v>160</v>
      </c>
      <c r="AZ53" s="7"/>
      <c r="BA53" s="7" t="s">
        <v>440</v>
      </c>
      <c r="BB53" s="7" t="s">
        <v>441</v>
      </c>
      <c r="BC53" s="11" t="s">
        <v>442</v>
      </c>
      <c r="BD53" s="7" t="s">
        <v>98</v>
      </c>
      <c r="BE53" s="11" t="s">
        <v>188</v>
      </c>
    </row>
    <row r="54" customFormat="false" ht="68.65" hidden="false" customHeight="false" outlineLevel="0" collapsed="false">
      <c r="A54" s="6" t="n">
        <v>53</v>
      </c>
      <c r="B54" s="7" t="s">
        <v>418</v>
      </c>
      <c r="C54" s="7" t="s">
        <v>443</v>
      </c>
      <c r="D54" s="8"/>
      <c r="E54" s="7" t="s">
        <v>245</v>
      </c>
      <c r="F54" s="7" t="s">
        <v>86</v>
      </c>
      <c r="G54" s="6" t="n">
        <v>1</v>
      </c>
      <c r="H54" s="7" t="s">
        <v>413</v>
      </c>
      <c r="I54" s="7"/>
      <c r="J54" s="7"/>
      <c r="K54" s="7" t="s">
        <v>353</v>
      </c>
      <c r="L54" s="9" t="n">
        <v>145299</v>
      </c>
      <c r="M54" s="9"/>
      <c r="N54" s="9"/>
      <c r="O54" s="7" t="s">
        <v>41</v>
      </c>
      <c r="P54" s="7" t="s">
        <v>363</v>
      </c>
      <c r="Q54" s="7" t="s">
        <v>90</v>
      </c>
      <c r="R54" s="7" t="s">
        <v>444</v>
      </c>
      <c r="S54" s="7" t="s">
        <v>421</v>
      </c>
      <c r="T54" s="7" t="s">
        <v>93</v>
      </c>
      <c r="U54" s="10"/>
      <c r="V54" s="7"/>
      <c r="W54" s="7"/>
      <c r="X54" s="7"/>
      <c r="Y54" s="7"/>
      <c r="Z54" s="7"/>
      <c r="AA54" s="7"/>
      <c r="AB54" s="8"/>
      <c r="AC54" s="6"/>
      <c r="AD54" s="6"/>
      <c r="AE54" s="6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8"/>
      <c r="AR54" s="9" t="str">
        <f aca="false">IFERROR(VLOOKUP($X54,Lotes!$A:$E,5,FALSE())*$U54,"")</f>
        <v/>
      </c>
      <c r="AS54" s="9" t="n">
        <f aca="false">IF($L54="","",$L54*2.6)</f>
        <v>377777.4</v>
      </c>
      <c r="AT54" s="9"/>
      <c r="AU54" s="9" t="n">
        <v>377778</v>
      </c>
      <c r="AV54" s="9" t="n">
        <v>330555.75</v>
      </c>
      <c r="AW54" s="9" t="n">
        <v>0</v>
      </c>
      <c r="AX54" s="7" t="s">
        <v>365</v>
      </c>
      <c r="AY54" s="7" t="s">
        <v>94</v>
      </c>
      <c r="AZ54" s="7"/>
      <c r="BA54" s="7" t="s">
        <v>445</v>
      </c>
      <c r="BB54" s="7" t="s">
        <v>446</v>
      </c>
      <c r="BC54" s="11" t="s">
        <v>447</v>
      </c>
      <c r="BD54" s="7" t="s">
        <v>98</v>
      </c>
      <c r="BE54" s="11" t="s">
        <v>448</v>
      </c>
    </row>
    <row r="55" customFormat="false" ht="23.85" hidden="false" customHeight="false" outlineLevel="0" collapsed="false">
      <c r="A55" s="6" t="n">
        <v>54</v>
      </c>
      <c r="B55" s="7" t="s">
        <v>418</v>
      </c>
      <c r="C55" s="7" t="s">
        <v>449</v>
      </c>
      <c r="D55" s="8"/>
      <c r="E55" s="7" t="s">
        <v>245</v>
      </c>
      <c r="F55" s="7" t="s">
        <v>270</v>
      </c>
      <c r="G55" s="6" t="n">
        <v>1</v>
      </c>
      <c r="H55" s="7" t="s">
        <v>352</v>
      </c>
      <c r="I55" s="7"/>
      <c r="J55" s="7"/>
      <c r="K55" s="7" t="s">
        <v>353</v>
      </c>
      <c r="L55" s="9" t="n">
        <v>163462</v>
      </c>
      <c r="M55" s="9"/>
      <c r="N55" s="9"/>
      <c r="O55" s="7" t="s">
        <v>108</v>
      </c>
      <c r="P55" s="7" t="s">
        <v>372</v>
      </c>
      <c r="Q55" s="7" t="s">
        <v>90</v>
      </c>
      <c r="R55" s="7" t="s">
        <v>450</v>
      </c>
      <c r="S55" s="7" t="s">
        <v>421</v>
      </c>
      <c r="T55" s="7" t="s">
        <v>93</v>
      </c>
      <c r="U55" s="10"/>
      <c r="V55" s="7"/>
      <c r="W55" s="7"/>
      <c r="X55" s="7"/>
      <c r="Y55" s="7"/>
      <c r="Z55" s="7"/>
      <c r="AA55" s="7"/>
      <c r="AB55" s="8"/>
      <c r="AC55" s="6"/>
      <c r="AD55" s="6"/>
      <c r="AE55" s="6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8"/>
      <c r="AR55" s="9" t="str">
        <f aca="false">IFERROR(VLOOKUP($X55,Lotes!$A:$E,5,FALSE())*$U55,"")</f>
        <v/>
      </c>
      <c r="AS55" s="9" t="n">
        <f aca="false">IF($L55="","",$L55*2.6)</f>
        <v>425001.2</v>
      </c>
      <c r="AT55" s="9"/>
      <c r="AU55" s="9" t="n">
        <v>425000</v>
      </c>
      <c r="AV55" s="9" t="n">
        <v>425000</v>
      </c>
      <c r="AW55" s="9" t="n">
        <v>0</v>
      </c>
      <c r="AX55" s="7" t="s">
        <v>372</v>
      </c>
      <c r="AY55" s="7" t="s">
        <v>94</v>
      </c>
      <c r="AZ55" s="7"/>
      <c r="BA55" s="7" t="s">
        <v>451</v>
      </c>
      <c r="BB55" s="7" t="s">
        <v>452</v>
      </c>
      <c r="BC55" s="11" t="s">
        <v>453</v>
      </c>
      <c r="BD55" s="7" t="s">
        <v>98</v>
      </c>
      <c r="BE55" s="11" t="s">
        <v>99</v>
      </c>
    </row>
    <row r="56" customFormat="false" ht="68.65" hidden="false" customHeight="false" outlineLevel="0" collapsed="false">
      <c r="A56" s="6" t="n">
        <v>55</v>
      </c>
      <c r="B56" s="7" t="s">
        <v>418</v>
      </c>
      <c r="C56" s="7" t="s">
        <v>454</v>
      </c>
      <c r="D56" s="8"/>
      <c r="E56" s="7" t="s">
        <v>172</v>
      </c>
      <c r="F56" s="7" t="s">
        <v>86</v>
      </c>
      <c r="G56" s="6" t="n">
        <v>1</v>
      </c>
      <c r="H56" s="7" t="s">
        <v>362</v>
      </c>
      <c r="I56" s="7"/>
      <c r="J56" s="7"/>
      <c r="K56" s="7" t="s">
        <v>353</v>
      </c>
      <c r="L56" s="9" t="n">
        <v>163462</v>
      </c>
      <c r="M56" s="9"/>
      <c r="N56" s="9"/>
      <c r="O56" s="7" t="s">
        <v>154</v>
      </c>
      <c r="P56" s="7" t="s">
        <v>363</v>
      </c>
      <c r="Q56" s="7" t="s">
        <v>90</v>
      </c>
      <c r="R56" s="7" t="s">
        <v>455</v>
      </c>
      <c r="S56" s="7" t="s">
        <v>421</v>
      </c>
      <c r="T56" s="7" t="s">
        <v>93</v>
      </c>
      <c r="U56" s="10"/>
      <c r="V56" s="7"/>
      <c r="W56" s="7"/>
      <c r="X56" s="7"/>
      <c r="Y56" s="7"/>
      <c r="Z56" s="7"/>
      <c r="AA56" s="7"/>
      <c r="AB56" s="8"/>
      <c r="AC56" s="6"/>
      <c r="AD56" s="6"/>
      <c r="AE56" s="6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8"/>
      <c r="AR56" s="9" t="str">
        <f aca="false">IFERROR(VLOOKUP($X56,Lotes!$A:$E,5,FALSE())*$U56,"")</f>
        <v/>
      </c>
      <c r="AS56" s="9" t="n">
        <f aca="false">IF($L56="","",$L56*2.6)</f>
        <v>425001.2</v>
      </c>
      <c r="AT56" s="9"/>
      <c r="AU56" s="9" t="n">
        <v>425000</v>
      </c>
      <c r="AV56" s="9" t="n">
        <v>425000</v>
      </c>
      <c r="AW56" s="9" t="n">
        <v>0</v>
      </c>
      <c r="AX56" s="7" t="s">
        <v>365</v>
      </c>
      <c r="AY56" s="7" t="s">
        <v>94</v>
      </c>
      <c r="AZ56" s="7"/>
      <c r="BA56" s="7" t="s">
        <v>456</v>
      </c>
      <c r="BB56" s="7" t="s">
        <v>457</v>
      </c>
      <c r="BC56" s="11" t="s">
        <v>458</v>
      </c>
      <c r="BD56" s="7" t="s">
        <v>98</v>
      </c>
      <c r="BE56" s="11" t="s">
        <v>448</v>
      </c>
    </row>
    <row r="57" customFormat="false" ht="23.85" hidden="false" customHeight="false" outlineLevel="0" collapsed="false">
      <c r="A57" s="6" t="n">
        <v>56</v>
      </c>
      <c r="B57" s="7" t="s">
        <v>418</v>
      </c>
      <c r="C57" s="7" t="s">
        <v>459</v>
      </c>
      <c r="D57" s="8"/>
      <c r="E57" s="7" t="s">
        <v>85</v>
      </c>
      <c r="F57" s="7" t="s">
        <v>270</v>
      </c>
      <c r="G57" s="6" t="n">
        <v>1</v>
      </c>
      <c r="H57" s="7" t="s">
        <v>426</v>
      </c>
      <c r="I57" s="7"/>
      <c r="J57" s="7"/>
      <c r="K57" s="7" t="s">
        <v>353</v>
      </c>
      <c r="L57" s="9" t="n">
        <v>215385</v>
      </c>
      <c r="M57" s="9"/>
      <c r="N57" s="9"/>
      <c r="O57" s="7" t="s">
        <v>108</v>
      </c>
      <c r="P57" s="7" t="s">
        <v>109</v>
      </c>
      <c r="Q57" s="7" t="s">
        <v>90</v>
      </c>
      <c r="R57" s="7" t="s">
        <v>460</v>
      </c>
      <c r="S57" s="7" t="s">
        <v>421</v>
      </c>
      <c r="T57" s="7" t="s">
        <v>111</v>
      </c>
      <c r="U57" s="10"/>
      <c r="V57" s="7"/>
      <c r="W57" s="7"/>
      <c r="X57" s="7"/>
      <c r="Y57" s="7"/>
      <c r="Z57" s="7"/>
      <c r="AA57" s="7"/>
      <c r="AB57" s="8"/>
      <c r="AC57" s="6"/>
      <c r="AD57" s="6"/>
      <c r="AE57" s="6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8"/>
      <c r="AR57" s="9" t="str">
        <f aca="false">IFERROR(VLOOKUP($X57,Lotes!$A:$E,5,FALSE())*$U57,"")</f>
        <v/>
      </c>
      <c r="AS57" s="9" t="n">
        <f aca="false">IF($L57="","",$L57*2.6)</f>
        <v>560001</v>
      </c>
      <c r="AT57" s="9"/>
      <c r="AU57" s="9" t="n">
        <v>560000</v>
      </c>
      <c r="AV57" s="9" t="n">
        <v>560000</v>
      </c>
      <c r="AW57" s="9" t="n">
        <v>560000</v>
      </c>
      <c r="AX57" s="7" t="s">
        <v>109</v>
      </c>
      <c r="AY57" s="7" t="s">
        <v>112</v>
      </c>
      <c r="AZ57" s="7"/>
      <c r="BA57" s="7" t="s">
        <v>461</v>
      </c>
      <c r="BB57" s="7" t="s">
        <v>462</v>
      </c>
      <c r="BC57" s="11" t="s">
        <v>463</v>
      </c>
      <c r="BD57" s="7" t="s">
        <v>98</v>
      </c>
      <c r="BE57" s="11" t="s">
        <v>99</v>
      </c>
    </row>
    <row r="58" customFormat="false" ht="68.65" hidden="false" customHeight="false" outlineLevel="0" collapsed="false">
      <c r="A58" s="6" t="n">
        <v>57</v>
      </c>
      <c r="B58" s="7" t="s">
        <v>418</v>
      </c>
      <c r="C58" s="7" t="s">
        <v>464</v>
      </c>
      <c r="D58" s="8"/>
      <c r="E58" s="7" t="s">
        <v>245</v>
      </c>
      <c r="F58" s="7" t="s">
        <v>86</v>
      </c>
      <c r="G58" s="6" t="n">
        <v>1</v>
      </c>
      <c r="H58" s="7" t="s">
        <v>362</v>
      </c>
      <c r="I58" s="7"/>
      <c r="J58" s="7"/>
      <c r="K58" s="7" t="s">
        <v>353</v>
      </c>
      <c r="L58" s="9" t="n">
        <v>130769</v>
      </c>
      <c r="M58" s="9"/>
      <c r="N58" s="9"/>
      <c r="O58" s="7" t="s">
        <v>41</v>
      </c>
      <c r="P58" s="7" t="s">
        <v>465</v>
      </c>
      <c r="Q58" s="7" t="s">
        <v>90</v>
      </c>
      <c r="R58" s="7" t="s">
        <v>466</v>
      </c>
      <c r="S58" s="7" t="s">
        <v>421</v>
      </c>
      <c r="T58" s="7" t="s">
        <v>93</v>
      </c>
      <c r="U58" s="10"/>
      <c r="V58" s="7"/>
      <c r="W58" s="7"/>
      <c r="X58" s="7"/>
      <c r="Y58" s="7"/>
      <c r="Z58" s="7"/>
      <c r="AA58" s="7"/>
      <c r="AB58" s="8"/>
      <c r="AC58" s="6"/>
      <c r="AD58" s="6"/>
      <c r="AE58" s="6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8"/>
      <c r="AR58" s="9" t="str">
        <f aca="false">IFERROR(VLOOKUP($X58,Lotes!$A:$E,5,FALSE())*$U58,"")</f>
        <v/>
      </c>
      <c r="AS58" s="9" t="n">
        <f aca="false">IF($L58="","",$L58*2.6)</f>
        <v>339999.4</v>
      </c>
      <c r="AT58" s="9"/>
      <c r="AU58" s="9" t="n">
        <v>340000</v>
      </c>
      <c r="AV58" s="9" t="n">
        <v>238000</v>
      </c>
      <c r="AW58" s="9" t="n">
        <v>0</v>
      </c>
      <c r="AX58" s="7" t="s">
        <v>344</v>
      </c>
      <c r="AY58" s="7" t="s">
        <v>94</v>
      </c>
      <c r="AZ58" s="7"/>
      <c r="BA58" s="7" t="s">
        <v>467</v>
      </c>
      <c r="BB58" s="7" t="s">
        <v>468</v>
      </c>
      <c r="BC58" s="11" t="s">
        <v>469</v>
      </c>
      <c r="BD58" s="7" t="s">
        <v>98</v>
      </c>
      <c r="BE58" s="11" t="s">
        <v>470</v>
      </c>
    </row>
    <row r="59" customFormat="false" ht="23.85" hidden="false" customHeight="false" outlineLevel="0" collapsed="false">
      <c r="A59" s="6" t="n">
        <v>58</v>
      </c>
      <c r="B59" s="7" t="s">
        <v>418</v>
      </c>
      <c r="C59" s="7" t="s">
        <v>471</v>
      </c>
      <c r="D59" s="8"/>
      <c r="E59" s="7" t="s">
        <v>172</v>
      </c>
      <c r="F59" s="7" t="s">
        <v>148</v>
      </c>
      <c r="G59" s="6" t="n">
        <v>1</v>
      </c>
      <c r="H59" s="7" t="s">
        <v>472</v>
      </c>
      <c r="I59" s="7"/>
      <c r="J59" s="7"/>
      <c r="K59" s="7" t="s">
        <v>353</v>
      </c>
      <c r="L59" s="9" t="n">
        <v>145299</v>
      </c>
      <c r="M59" s="9"/>
      <c r="N59" s="9"/>
      <c r="O59" s="7" t="s">
        <v>41</v>
      </c>
      <c r="P59" s="7" t="s">
        <v>465</v>
      </c>
      <c r="Q59" s="7" t="s">
        <v>90</v>
      </c>
      <c r="R59" s="7" t="s">
        <v>473</v>
      </c>
      <c r="S59" s="7" t="s">
        <v>421</v>
      </c>
      <c r="T59" s="7" t="s">
        <v>93</v>
      </c>
      <c r="U59" s="10"/>
      <c r="V59" s="7"/>
      <c r="W59" s="7"/>
      <c r="X59" s="7"/>
      <c r="Y59" s="7"/>
      <c r="Z59" s="7"/>
      <c r="AA59" s="7"/>
      <c r="AB59" s="8"/>
      <c r="AC59" s="6"/>
      <c r="AD59" s="6"/>
      <c r="AE59" s="6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8"/>
      <c r="AR59" s="9" t="str">
        <f aca="false">IFERROR(VLOOKUP($X59,Lotes!$A:$E,5,FALSE())*$U59,"")</f>
        <v/>
      </c>
      <c r="AS59" s="9" t="n">
        <f aca="false">IF($L59="","",$L59*2.6)</f>
        <v>377777.4</v>
      </c>
      <c r="AT59" s="9"/>
      <c r="AU59" s="9" t="n">
        <v>377778</v>
      </c>
      <c r="AV59" s="9" t="n">
        <v>301089.066</v>
      </c>
      <c r="AW59" s="9" t="n">
        <v>0</v>
      </c>
      <c r="AX59" s="7" t="s">
        <v>465</v>
      </c>
      <c r="AY59" s="7" t="s">
        <v>94</v>
      </c>
      <c r="AZ59" s="7"/>
      <c r="BA59" s="7" t="s">
        <v>474</v>
      </c>
      <c r="BB59" s="7" t="s">
        <v>475</v>
      </c>
      <c r="BC59" s="11" t="s">
        <v>476</v>
      </c>
      <c r="BD59" s="7" t="s">
        <v>98</v>
      </c>
      <c r="BE59" s="11" t="s">
        <v>99</v>
      </c>
    </row>
    <row r="60" customFormat="false" ht="23.85" hidden="false" customHeight="false" outlineLevel="0" collapsed="false">
      <c r="A60" s="6" t="n">
        <v>59</v>
      </c>
      <c r="B60" s="7" t="s">
        <v>418</v>
      </c>
      <c r="C60" s="7" t="s">
        <v>477</v>
      </c>
      <c r="D60" s="8"/>
      <c r="E60" s="7" t="s">
        <v>245</v>
      </c>
      <c r="F60" s="7" t="s">
        <v>86</v>
      </c>
      <c r="G60" s="6" t="n">
        <v>1</v>
      </c>
      <c r="H60" s="7" t="s">
        <v>362</v>
      </c>
      <c r="I60" s="7"/>
      <c r="J60" s="7"/>
      <c r="K60" s="7" t="s">
        <v>353</v>
      </c>
      <c r="L60" s="9" t="n">
        <v>130769</v>
      </c>
      <c r="M60" s="9"/>
      <c r="N60" s="9"/>
      <c r="O60" s="7" t="s">
        <v>108</v>
      </c>
      <c r="P60" s="7" t="s">
        <v>372</v>
      </c>
      <c r="Q60" s="7" t="s">
        <v>90</v>
      </c>
      <c r="R60" s="7" t="s">
        <v>478</v>
      </c>
      <c r="S60" s="7" t="s">
        <v>421</v>
      </c>
      <c r="T60" s="7" t="s">
        <v>93</v>
      </c>
      <c r="U60" s="10"/>
      <c r="V60" s="7"/>
      <c r="W60" s="7"/>
      <c r="X60" s="7"/>
      <c r="Y60" s="7"/>
      <c r="Z60" s="7"/>
      <c r="AA60" s="7"/>
      <c r="AB60" s="8"/>
      <c r="AC60" s="6"/>
      <c r="AD60" s="6"/>
      <c r="AE60" s="6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8"/>
      <c r="AR60" s="9" t="str">
        <f aca="false">IFERROR(VLOOKUP($X60,Lotes!$A:$E,5,FALSE())*$U60,"")</f>
        <v/>
      </c>
      <c r="AS60" s="9" t="n">
        <f aca="false">IF($L60="","",$L60*2.6)</f>
        <v>339999.4</v>
      </c>
      <c r="AT60" s="9"/>
      <c r="AU60" s="9" t="n">
        <v>340000</v>
      </c>
      <c r="AV60" s="9" t="n">
        <v>340000</v>
      </c>
      <c r="AW60" s="9" t="n">
        <v>0</v>
      </c>
      <c r="AX60" s="7" t="s">
        <v>372</v>
      </c>
      <c r="AY60" s="7" t="s">
        <v>94</v>
      </c>
      <c r="AZ60" s="7"/>
      <c r="BA60" s="7" t="s">
        <v>479</v>
      </c>
      <c r="BB60" s="7" t="s">
        <v>480</v>
      </c>
      <c r="BC60" s="11" t="s">
        <v>481</v>
      </c>
      <c r="BD60" s="7" t="s">
        <v>98</v>
      </c>
      <c r="BE60" s="11" t="s">
        <v>99</v>
      </c>
    </row>
    <row r="61" customFormat="false" ht="23.85" hidden="false" customHeight="false" outlineLevel="0" collapsed="false">
      <c r="A61" s="6" t="n">
        <v>60</v>
      </c>
      <c r="B61" s="7" t="s">
        <v>418</v>
      </c>
      <c r="C61" s="7" t="s">
        <v>482</v>
      </c>
      <c r="D61" s="8"/>
      <c r="E61" s="7" t="s">
        <v>172</v>
      </c>
      <c r="F61" s="7" t="s">
        <v>86</v>
      </c>
      <c r="G61" s="6" t="n">
        <v>1</v>
      </c>
      <c r="H61" s="7" t="s">
        <v>426</v>
      </c>
      <c r="I61" s="7"/>
      <c r="J61" s="7"/>
      <c r="K61" s="7" t="s">
        <v>353</v>
      </c>
      <c r="L61" s="9" t="n">
        <v>145299</v>
      </c>
      <c r="M61" s="9"/>
      <c r="N61" s="9"/>
      <c r="O61" s="7" t="s">
        <v>154</v>
      </c>
      <c r="P61" s="7" t="s">
        <v>102</v>
      </c>
      <c r="Q61" s="7" t="s">
        <v>90</v>
      </c>
      <c r="R61" s="7" t="s">
        <v>483</v>
      </c>
      <c r="S61" s="7" t="s">
        <v>421</v>
      </c>
      <c r="T61" s="7" t="s">
        <v>93</v>
      </c>
      <c r="U61" s="10"/>
      <c r="V61" s="7"/>
      <c r="W61" s="7"/>
      <c r="X61" s="7"/>
      <c r="Y61" s="7"/>
      <c r="Z61" s="7"/>
      <c r="AA61" s="7"/>
      <c r="AB61" s="8"/>
      <c r="AC61" s="6"/>
      <c r="AD61" s="6"/>
      <c r="AE61" s="6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8"/>
      <c r="AR61" s="9" t="str">
        <f aca="false">IFERROR(VLOOKUP($X61,Lotes!$A:$E,5,FALSE())*$U61,"")</f>
        <v/>
      </c>
      <c r="AS61" s="9" t="n">
        <f aca="false">IF($L61="","",$L61*2.6)</f>
        <v>377777.4</v>
      </c>
      <c r="AT61" s="9"/>
      <c r="AU61" s="9" t="n">
        <v>377778</v>
      </c>
      <c r="AV61" s="9" t="n">
        <v>377778</v>
      </c>
      <c r="AW61" s="9" t="n">
        <v>0</v>
      </c>
      <c r="AX61" s="7" t="s">
        <v>102</v>
      </c>
      <c r="AY61" s="7" t="s">
        <v>94</v>
      </c>
      <c r="AZ61" s="7"/>
      <c r="BA61" s="7" t="s">
        <v>484</v>
      </c>
      <c r="BB61" s="7" t="s">
        <v>485</v>
      </c>
      <c r="BC61" s="11" t="s">
        <v>486</v>
      </c>
      <c r="BD61" s="7" t="s">
        <v>98</v>
      </c>
      <c r="BE61" s="11" t="s">
        <v>99</v>
      </c>
    </row>
    <row r="62" customFormat="false" ht="79.85" hidden="false" customHeight="false" outlineLevel="0" collapsed="false">
      <c r="A62" s="6" t="n">
        <v>61</v>
      </c>
      <c r="B62" s="7" t="s">
        <v>418</v>
      </c>
      <c r="C62" s="7" t="s">
        <v>487</v>
      </c>
      <c r="D62" s="8"/>
      <c r="E62" s="7" t="s">
        <v>245</v>
      </c>
      <c r="F62" s="7" t="s">
        <v>123</v>
      </c>
      <c r="G62" s="6" t="n">
        <v>1</v>
      </c>
      <c r="H62" s="7" t="s">
        <v>362</v>
      </c>
      <c r="I62" s="7"/>
      <c r="J62" s="7"/>
      <c r="K62" s="7" t="s">
        <v>353</v>
      </c>
      <c r="L62" s="9" t="n">
        <v>115114</v>
      </c>
      <c r="M62" s="9"/>
      <c r="N62" s="9"/>
      <c r="O62" s="7" t="s">
        <v>108</v>
      </c>
      <c r="P62" s="7" t="s">
        <v>109</v>
      </c>
      <c r="Q62" s="7" t="s">
        <v>90</v>
      </c>
      <c r="R62" s="7" t="s">
        <v>488</v>
      </c>
      <c r="S62" s="7" t="s">
        <v>421</v>
      </c>
      <c r="T62" s="7" t="s">
        <v>93</v>
      </c>
      <c r="U62" s="10"/>
      <c r="V62" s="7"/>
      <c r="W62" s="7"/>
      <c r="X62" s="7"/>
      <c r="Y62" s="7"/>
      <c r="Z62" s="7"/>
      <c r="AA62" s="7"/>
      <c r="AB62" s="8"/>
      <c r="AC62" s="6"/>
      <c r="AD62" s="6"/>
      <c r="AE62" s="6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8"/>
      <c r="AR62" s="9" t="str">
        <f aca="false">IFERROR(VLOOKUP($X62,Lotes!$A:$E,5,FALSE())*$U62,"")</f>
        <v/>
      </c>
      <c r="AS62" s="9" t="n">
        <f aca="false">IF($L62="","",$L62*2.6)</f>
        <v>299296.4</v>
      </c>
      <c r="AT62" s="9"/>
      <c r="AU62" s="9" t="n">
        <v>299296</v>
      </c>
      <c r="AV62" s="9" t="n">
        <v>299296</v>
      </c>
      <c r="AW62" s="9" t="n">
        <v>296</v>
      </c>
      <c r="AX62" s="7" t="s">
        <v>489</v>
      </c>
      <c r="AY62" s="7" t="s">
        <v>94</v>
      </c>
      <c r="AZ62" s="7"/>
      <c r="BA62" s="7" t="s">
        <v>490</v>
      </c>
      <c r="BB62" s="7" t="s">
        <v>491</v>
      </c>
      <c r="BC62" s="11" t="s">
        <v>492</v>
      </c>
      <c r="BD62" s="7" t="s">
        <v>98</v>
      </c>
      <c r="BE62" s="11" t="s">
        <v>493</v>
      </c>
    </row>
    <row r="63" customFormat="false" ht="23.85" hidden="false" customHeight="false" outlineLevel="0" collapsed="false">
      <c r="A63" s="6" t="n">
        <v>62</v>
      </c>
      <c r="B63" s="7" t="s">
        <v>418</v>
      </c>
      <c r="C63" s="7" t="s">
        <v>494</v>
      </c>
      <c r="D63" s="8"/>
      <c r="E63" s="7" t="s">
        <v>172</v>
      </c>
      <c r="F63" s="7" t="s">
        <v>123</v>
      </c>
      <c r="G63" s="6" t="n">
        <v>1</v>
      </c>
      <c r="H63" s="7" t="s">
        <v>426</v>
      </c>
      <c r="I63" s="7"/>
      <c r="J63" s="7"/>
      <c r="K63" s="7" t="s">
        <v>353</v>
      </c>
      <c r="L63" s="9" t="n">
        <v>215385</v>
      </c>
      <c r="M63" s="9"/>
      <c r="N63" s="9"/>
      <c r="O63" s="7" t="s">
        <v>108</v>
      </c>
      <c r="P63" s="7" t="s">
        <v>109</v>
      </c>
      <c r="Q63" s="7" t="s">
        <v>90</v>
      </c>
      <c r="R63" s="7" t="s">
        <v>495</v>
      </c>
      <c r="S63" s="7" t="s">
        <v>421</v>
      </c>
      <c r="T63" s="7" t="s">
        <v>111</v>
      </c>
      <c r="U63" s="10"/>
      <c r="V63" s="7"/>
      <c r="W63" s="7"/>
      <c r="X63" s="7"/>
      <c r="Y63" s="7"/>
      <c r="Z63" s="7"/>
      <c r="AA63" s="7"/>
      <c r="AB63" s="8"/>
      <c r="AC63" s="6"/>
      <c r="AD63" s="6"/>
      <c r="AE63" s="6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8"/>
      <c r="AR63" s="9" t="str">
        <f aca="false">IFERROR(VLOOKUP($X63,Lotes!$A:$E,5,FALSE())*$U63,"")</f>
        <v/>
      </c>
      <c r="AS63" s="9" t="n">
        <f aca="false">IF($L63="","",$L63*2.6)</f>
        <v>560001</v>
      </c>
      <c r="AT63" s="9"/>
      <c r="AU63" s="9" t="n">
        <v>560000</v>
      </c>
      <c r="AV63" s="9" t="n">
        <v>560000</v>
      </c>
      <c r="AW63" s="9" t="n">
        <v>560000</v>
      </c>
      <c r="AX63" s="7" t="s">
        <v>109</v>
      </c>
      <c r="AY63" s="7" t="s">
        <v>112</v>
      </c>
      <c r="AZ63" s="7"/>
      <c r="BA63" s="7" t="s">
        <v>496</v>
      </c>
      <c r="BB63" s="7" t="s">
        <v>497</v>
      </c>
      <c r="BC63" s="11" t="s">
        <v>498</v>
      </c>
      <c r="BD63" s="7" t="s">
        <v>98</v>
      </c>
      <c r="BE63" s="11" t="s">
        <v>99</v>
      </c>
    </row>
    <row r="64" customFormat="false" ht="23.85" hidden="false" customHeight="false" outlineLevel="0" collapsed="false">
      <c r="A64" s="6" t="n">
        <v>63</v>
      </c>
      <c r="B64" s="7" t="s">
        <v>418</v>
      </c>
      <c r="C64" s="7" t="s">
        <v>499</v>
      </c>
      <c r="D64" s="8"/>
      <c r="E64" s="7" t="s">
        <v>245</v>
      </c>
      <c r="F64" s="7" t="s">
        <v>123</v>
      </c>
      <c r="G64" s="6" t="n">
        <v>1</v>
      </c>
      <c r="H64" s="7" t="s">
        <v>472</v>
      </c>
      <c r="I64" s="7"/>
      <c r="J64" s="7"/>
      <c r="K64" s="7" t="s">
        <v>353</v>
      </c>
      <c r="L64" s="9" t="n">
        <v>239316</v>
      </c>
      <c r="M64" s="9"/>
      <c r="N64" s="9"/>
      <c r="O64" s="7" t="s">
        <v>41</v>
      </c>
      <c r="P64" s="7" t="s">
        <v>465</v>
      </c>
      <c r="Q64" s="7" t="s">
        <v>90</v>
      </c>
      <c r="R64" s="7" t="s">
        <v>500</v>
      </c>
      <c r="S64" s="7" t="s">
        <v>421</v>
      </c>
      <c r="T64" s="7" t="s">
        <v>111</v>
      </c>
      <c r="U64" s="10"/>
      <c r="V64" s="7"/>
      <c r="W64" s="7"/>
      <c r="X64" s="7"/>
      <c r="Y64" s="7"/>
      <c r="Z64" s="7"/>
      <c r="AA64" s="7"/>
      <c r="AB64" s="8"/>
      <c r="AC64" s="6"/>
      <c r="AD64" s="6"/>
      <c r="AE64" s="6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8"/>
      <c r="AR64" s="9" t="str">
        <f aca="false">IFERROR(VLOOKUP($X64,Lotes!$A:$E,5,FALSE())*$U64,"")</f>
        <v/>
      </c>
      <c r="AS64" s="9" t="n">
        <f aca="false">IF($L64="","",$L64*2.6)</f>
        <v>622221.6</v>
      </c>
      <c r="AT64" s="9"/>
      <c r="AU64" s="9" t="n">
        <v>622222</v>
      </c>
      <c r="AV64" s="9" t="n">
        <v>622222</v>
      </c>
      <c r="AW64" s="9" t="n">
        <v>375222</v>
      </c>
      <c r="AX64" s="7" t="s">
        <v>465</v>
      </c>
      <c r="AY64" s="7" t="s">
        <v>112</v>
      </c>
      <c r="AZ64" s="7"/>
      <c r="BA64" s="7" t="s">
        <v>501</v>
      </c>
      <c r="BB64" s="7" t="s">
        <v>502</v>
      </c>
      <c r="BC64" s="11" t="s">
        <v>503</v>
      </c>
      <c r="BD64" s="7" t="s">
        <v>98</v>
      </c>
      <c r="BE64" s="11" t="s">
        <v>99</v>
      </c>
    </row>
    <row r="65" customFormat="false" ht="23.85" hidden="false" customHeight="false" outlineLevel="0" collapsed="false">
      <c r="A65" s="6" t="n">
        <v>64</v>
      </c>
      <c r="B65" s="7" t="s">
        <v>418</v>
      </c>
      <c r="C65" s="7" t="s">
        <v>504</v>
      </c>
      <c r="D65" s="8" t="n">
        <v>18</v>
      </c>
      <c r="E65" s="7" t="s">
        <v>403</v>
      </c>
      <c r="F65" s="7" t="s">
        <v>311</v>
      </c>
      <c r="G65" s="6" t="n">
        <v>1</v>
      </c>
      <c r="H65" s="7" t="s">
        <v>362</v>
      </c>
      <c r="I65" s="7"/>
      <c r="J65" s="7"/>
      <c r="K65" s="7" t="s">
        <v>505</v>
      </c>
      <c r="L65" s="9" t="n">
        <v>1282051</v>
      </c>
      <c r="M65" s="9"/>
      <c r="N65" s="9"/>
      <c r="O65" s="7" t="s">
        <v>41</v>
      </c>
      <c r="P65" s="7" t="s">
        <v>428</v>
      </c>
      <c r="Q65" s="7" t="s">
        <v>506</v>
      </c>
      <c r="R65" s="7" t="s">
        <v>507</v>
      </c>
      <c r="S65" s="7" t="s">
        <v>421</v>
      </c>
      <c r="T65" s="7"/>
      <c r="U65" s="10"/>
      <c r="V65" s="7"/>
      <c r="W65" s="7"/>
      <c r="X65" s="7"/>
      <c r="Y65" s="7"/>
      <c r="Z65" s="7"/>
      <c r="AA65" s="7"/>
      <c r="AB65" s="8"/>
      <c r="AC65" s="6"/>
      <c r="AD65" s="6"/>
      <c r="AE65" s="6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8"/>
      <c r="AR65" s="9" t="str">
        <f aca="false">IFERROR(VLOOKUP($X65,Lotes!$A:$E,5,FALSE())*$U65,"")</f>
        <v/>
      </c>
      <c r="AS65" s="9" t="n">
        <f aca="false">IF($L65="","",$L65*2.6)</f>
        <v>3333332.6</v>
      </c>
      <c r="AT65" s="9"/>
      <c r="AU65" s="9" t="n">
        <v>3333333</v>
      </c>
      <c r="AV65" s="9" t="n">
        <v>3333333</v>
      </c>
      <c r="AW65" s="9" t="n">
        <v>0</v>
      </c>
      <c r="AX65" s="7" t="s">
        <v>428</v>
      </c>
      <c r="AY65" s="7" t="s">
        <v>508</v>
      </c>
      <c r="AZ65" s="7"/>
      <c r="BA65" s="7" t="s">
        <v>509</v>
      </c>
      <c r="BB65" s="7" t="s">
        <v>510</v>
      </c>
      <c r="BC65" s="11" t="s">
        <v>511</v>
      </c>
      <c r="BD65" s="7" t="s">
        <v>98</v>
      </c>
      <c r="BE65" s="11" t="s">
        <v>99</v>
      </c>
    </row>
    <row r="66" customFormat="false" ht="23.85" hidden="false" customHeight="false" outlineLevel="0" collapsed="false">
      <c r="A66" s="6" t="n">
        <v>65</v>
      </c>
      <c r="B66" s="7" t="s">
        <v>418</v>
      </c>
      <c r="C66" s="7" t="s">
        <v>512</v>
      </c>
      <c r="D66" s="8" t="n">
        <v>18</v>
      </c>
      <c r="E66" s="7" t="s">
        <v>403</v>
      </c>
      <c r="F66" s="7" t="s">
        <v>311</v>
      </c>
      <c r="G66" s="6" t="n">
        <v>1</v>
      </c>
      <c r="H66" s="7" t="s">
        <v>472</v>
      </c>
      <c r="I66" s="7"/>
      <c r="J66" s="7"/>
      <c r="K66" s="7" t="s">
        <v>505</v>
      </c>
      <c r="L66" s="9" t="n">
        <v>1373627</v>
      </c>
      <c r="M66" s="9"/>
      <c r="N66" s="9"/>
      <c r="O66" s="7" t="s">
        <v>41</v>
      </c>
      <c r="P66" s="7" t="s">
        <v>428</v>
      </c>
      <c r="Q66" s="7" t="s">
        <v>506</v>
      </c>
      <c r="R66" s="7" t="s">
        <v>513</v>
      </c>
      <c r="S66" s="7" t="s">
        <v>421</v>
      </c>
      <c r="T66" s="7"/>
      <c r="U66" s="10"/>
      <c r="V66" s="7"/>
      <c r="W66" s="7"/>
      <c r="X66" s="7"/>
      <c r="Y66" s="7"/>
      <c r="Z66" s="7"/>
      <c r="AA66" s="7"/>
      <c r="AB66" s="8"/>
      <c r="AC66" s="6"/>
      <c r="AD66" s="6"/>
      <c r="AE66" s="6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8"/>
      <c r="AR66" s="9" t="str">
        <f aca="false">IFERROR(VLOOKUP($X66,Lotes!$A:$E,5,FALSE())*$U66,"")</f>
        <v/>
      </c>
      <c r="AS66" s="9" t="n">
        <f aca="false">IF($L66="","",$L66*2.6)</f>
        <v>3571430.2</v>
      </c>
      <c r="AT66" s="9"/>
      <c r="AU66" s="9" t="n">
        <v>3571429</v>
      </c>
      <c r="AV66" s="9" t="n">
        <v>3571429</v>
      </c>
      <c r="AW66" s="9" t="n">
        <v>0</v>
      </c>
      <c r="AX66" s="7" t="s">
        <v>428</v>
      </c>
      <c r="AY66" s="7" t="s">
        <v>508</v>
      </c>
      <c r="AZ66" s="7"/>
      <c r="BA66" s="7" t="s">
        <v>514</v>
      </c>
      <c r="BB66" s="7" t="s">
        <v>515</v>
      </c>
      <c r="BC66" s="11" t="s">
        <v>516</v>
      </c>
      <c r="BD66" s="7" t="s">
        <v>98</v>
      </c>
      <c r="BE66" s="11" t="s">
        <v>99</v>
      </c>
    </row>
    <row r="67" customFormat="false" ht="23.85" hidden="false" customHeight="false" outlineLevel="0" collapsed="false">
      <c r="A67" s="6" t="n">
        <v>66</v>
      </c>
      <c r="B67" s="7" t="s">
        <v>418</v>
      </c>
      <c r="C67" s="7" t="s">
        <v>517</v>
      </c>
      <c r="D67" s="8" t="n">
        <v>0.48</v>
      </c>
      <c r="E67" s="7" t="s">
        <v>172</v>
      </c>
      <c r="F67" s="7" t="s">
        <v>270</v>
      </c>
      <c r="G67" s="6" t="n">
        <v>1</v>
      </c>
      <c r="H67" s="7" t="s">
        <v>87</v>
      </c>
      <c r="I67" s="7" t="s">
        <v>271</v>
      </c>
      <c r="J67" s="7" t="s">
        <v>518</v>
      </c>
      <c r="K67" s="7" t="s">
        <v>88</v>
      </c>
      <c r="L67" s="9" t="n">
        <v>180473</v>
      </c>
      <c r="M67" s="9"/>
      <c r="N67" s="9"/>
      <c r="O67" s="7" t="s">
        <v>41</v>
      </c>
      <c r="P67" s="7" t="s">
        <v>331</v>
      </c>
      <c r="Q67" s="7" t="s">
        <v>90</v>
      </c>
      <c r="R67" s="7" t="s">
        <v>519</v>
      </c>
      <c r="S67" s="7" t="s">
        <v>356</v>
      </c>
      <c r="T67" s="7" t="s">
        <v>93</v>
      </c>
      <c r="U67" s="10"/>
      <c r="V67" s="7"/>
      <c r="W67" s="7"/>
      <c r="X67" s="7"/>
      <c r="Y67" s="7"/>
      <c r="Z67" s="7"/>
      <c r="AA67" s="7"/>
      <c r="AB67" s="8"/>
      <c r="AC67" s="6"/>
      <c r="AD67" s="6"/>
      <c r="AE67" s="6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8"/>
      <c r="AR67" s="9" t="str">
        <f aca="false">IFERROR(VLOOKUP($X67,Lotes!$A:$E,5,FALSE())*$U67,"")</f>
        <v/>
      </c>
      <c r="AS67" s="9" t="n">
        <f aca="false">IF($L67="","",$L67*2.6)</f>
        <v>469229.8</v>
      </c>
      <c r="AT67" s="9"/>
      <c r="AU67" s="9" t="n">
        <v>469231</v>
      </c>
      <c r="AV67" s="9" t="n">
        <v>469231</v>
      </c>
      <c r="AW67" s="9" t="n">
        <v>0</v>
      </c>
      <c r="AX67" s="7" t="s">
        <v>331</v>
      </c>
      <c r="AY67" s="7" t="s">
        <v>94</v>
      </c>
      <c r="AZ67" s="7"/>
      <c r="BA67" s="7" t="s">
        <v>520</v>
      </c>
      <c r="BB67" s="7" t="s">
        <v>521</v>
      </c>
      <c r="BC67" s="11" t="s">
        <v>522</v>
      </c>
      <c r="BD67" s="7" t="s">
        <v>98</v>
      </c>
      <c r="BE67" s="11" t="s">
        <v>99</v>
      </c>
    </row>
    <row r="68" customFormat="false" ht="23.85" hidden="false" customHeight="false" outlineLevel="0" collapsed="false">
      <c r="A68" s="6" t="n">
        <v>67</v>
      </c>
      <c r="B68" s="7" t="s">
        <v>418</v>
      </c>
      <c r="C68" s="7" t="s">
        <v>523</v>
      </c>
      <c r="D68" s="8" t="n">
        <v>0.7</v>
      </c>
      <c r="E68" s="7" t="s">
        <v>172</v>
      </c>
      <c r="F68" s="7" t="s">
        <v>270</v>
      </c>
      <c r="G68" s="6" t="n">
        <v>1</v>
      </c>
      <c r="H68" s="7" t="s">
        <v>87</v>
      </c>
      <c r="I68" s="7" t="s">
        <v>271</v>
      </c>
      <c r="J68" s="7" t="s">
        <v>524</v>
      </c>
      <c r="K68" s="7" t="s">
        <v>88</v>
      </c>
      <c r="L68" s="9" t="n">
        <v>170812</v>
      </c>
      <c r="M68" s="9"/>
      <c r="N68" s="9"/>
      <c r="O68" s="7" t="s">
        <v>41</v>
      </c>
      <c r="P68" s="7" t="s">
        <v>331</v>
      </c>
      <c r="Q68" s="7" t="s">
        <v>90</v>
      </c>
      <c r="R68" s="7" t="s">
        <v>525</v>
      </c>
      <c r="S68" s="7" t="s">
        <v>356</v>
      </c>
      <c r="T68" s="7" t="s">
        <v>93</v>
      </c>
      <c r="U68" s="10"/>
      <c r="V68" s="7"/>
      <c r="W68" s="7"/>
      <c r="X68" s="7"/>
      <c r="Y68" s="7"/>
      <c r="Z68" s="7"/>
      <c r="AA68" s="7"/>
      <c r="AB68" s="8"/>
      <c r="AC68" s="6"/>
      <c r="AD68" s="6"/>
      <c r="AE68" s="6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8"/>
      <c r="AR68" s="9" t="str">
        <f aca="false">IFERROR(VLOOKUP($X68,Lotes!$A:$E,5,FALSE())*$U68,"")</f>
        <v/>
      </c>
      <c r="AS68" s="9" t="n">
        <f aca="false">IF($L68="","",$L68*2.6)</f>
        <v>444111.2</v>
      </c>
      <c r="AT68" s="9"/>
      <c r="AU68" s="9" t="n">
        <v>444112</v>
      </c>
      <c r="AV68" s="9" t="n">
        <v>444112</v>
      </c>
      <c r="AW68" s="9" t="n">
        <v>0</v>
      </c>
      <c r="AX68" s="7" t="s">
        <v>331</v>
      </c>
      <c r="AY68" s="7" t="s">
        <v>94</v>
      </c>
      <c r="AZ68" s="7"/>
      <c r="BA68" s="7" t="s">
        <v>526</v>
      </c>
      <c r="BB68" s="7" t="s">
        <v>527</v>
      </c>
      <c r="BC68" s="11" t="s">
        <v>528</v>
      </c>
      <c r="BD68" s="7" t="s">
        <v>98</v>
      </c>
      <c r="BE68" s="11" t="s">
        <v>99</v>
      </c>
    </row>
    <row r="69" customFormat="false" ht="23.85" hidden="false" customHeight="false" outlineLevel="0" collapsed="false">
      <c r="A69" s="6" t="n">
        <v>68</v>
      </c>
      <c r="B69" s="7" t="s">
        <v>418</v>
      </c>
      <c r="C69" s="7" t="s">
        <v>529</v>
      </c>
      <c r="D69" s="8" t="n">
        <v>0.95</v>
      </c>
      <c r="E69" s="7" t="s">
        <v>172</v>
      </c>
      <c r="F69" s="7" t="s">
        <v>270</v>
      </c>
      <c r="G69" s="6" t="n">
        <v>2</v>
      </c>
      <c r="H69" s="7" t="s">
        <v>87</v>
      </c>
      <c r="I69" s="7" t="s">
        <v>271</v>
      </c>
      <c r="J69" s="7" t="s">
        <v>530</v>
      </c>
      <c r="K69" s="7" t="s">
        <v>88</v>
      </c>
      <c r="L69" s="9" t="n">
        <v>117308</v>
      </c>
      <c r="M69" s="9"/>
      <c r="N69" s="9"/>
      <c r="O69" s="7" t="s">
        <v>41</v>
      </c>
      <c r="P69" s="7" t="s">
        <v>234</v>
      </c>
      <c r="Q69" s="7" t="s">
        <v>90</v>
      </c>
      <c r="R69" s="7" t="s">
        <v>531</v>
      </c>
      <c r="S69" s="7" t="s">
        <v>356</v>
      </c>
      <c r="T69" s="7" t="s">
        <v>93</v>
      </c>
      <c r="U69" s="10"/>
      <c r="V69" s="7"/>
      <c r="W69" s="7"/>
      <c r="X69" s="7"/>
      <c r="Y69" s="7"/>
      <c r="Z69" s="7"/>
      <c r="AA69" s="7"/>
      <c r="AB69" s="8"/>
      <c r="AC69" s="6"/>
      <c r="AD69" s="6"/>
      <c r="AE69" s="6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8"/>
      <c r="AR69" s="9" t="str">
        <f aca="false">IFERROR(VLOOKUP($X69,Lotes!$A:$E,5,FALSE())*$U69,"")</f>
        <v/>
      </c>
      <c r="AS69" s="9" t="n">
        <f aca="false">IF($L69="","",$L69*2.6)</f>
        <v>305000.8</v>
      </c>
      <c r="AT69" s="9"/>
      <c r="AU69" s="9" t="n">
        <v>305000</v>
      </c>
      <c r="AV69" s="9" t="n">
        <v>305000</v>
      </c>
      <c r="AW69" s="9" t="n">
        <v>61000</v>
      </c>
      <c r="AX69" s="7" t="s">
        <v>234</v>
      </c>
      <c r="AY69" s="7" t="s">
        <v>94</v>
      </c>
      <c r="AZ69" s="7"/>
      <c r="BA69" s="7" t="s">
        <v>532</v>
      </c>
      <c r="BB69" s="7" t="s">
        <v>533</v>
      </c>
      <c r="BC69" s="11" t="s">
        <v>534</v>
      </c>
      <c r="BD69" s="7" t="s">
        <v>98</v>
      </c>
      <c r="BE69" s="11" t="s">
        <v>99</v>
      </c>
    </row>
    <row r="70" customFormat="false" ht="23.85" hidden="false" customHeight="false" outlineLevel="0" collapsed="false">
      <c r="A70" s="6" t="n">
        <v>69</v>
      </c>
      <c r="B70" s="7" t="s">
        <v>418</v>
      </c>
      <c r="C70" s="7" t="s">
        <v>535</v>
      </c>
      <c r="D70" s="8" t="n">
        <v>0.89</v>
      </c>
      <c r="E70" s="7" t="s">
        <v>172</v>
      </c>
      <c r="F70" s="7" t="s">
        <v>86</v>
      </c>
      <c r="G70" s="6" t="n">
        <v>1</v>
      </c>
      <c r="H70" s="7" t="s">
        <v>87</v>
      </c>
      <c r="I70" s="7" t="s">
        <v>271</v>
      </c>
      <c r="J70" s="7" t="s">
        <v>536</v>
      </c>
      <c r="K70" s="7" t="s">
        <v>88</v>
      </c>
      <c r="L70" s="9" t="n">
        <v>126923</v>
      </c>
      <c r="M70" s="9"/>
      <c r="N70" s="9"/>
      <c r="O70" s="7" t="s">
        <v>41</v>
      </c>
      <c r="P70" s="7" t="s">
        <v>102</v>
      </c>
      <c r="Q70" s="7" t="s">
        <v>90</v>
      </c>
      <c r="R70" s="7" t="s">
        <v>537</v>
      </c>
      <c r="S70" s="7" t="s">
        <v>356</v>
      </c>
      <c r="T70" s="7" t="s">
        <v>93</v>
      </c>
      <c r="U70" s="10"/>
      <c r="V70" s="7"/>
      <c r="W70" s="7"/>
      <c r="X70" s="7"/>
      <c r="Y70" s="7"/>
      <c r="Z70" s="7"/>
      <c r="AA70" s="7"/>
      <c r="AB70" s="8"/>
      <c r="AC70" s="6"/>
      <c r="AD70" s="6"/>
      <c r="AE70" s="6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8"/>
      <c r="AR70" s="9" t="str">
        <f aca="false">IFERROR(VLOOKUP($X70,Lotes!$A:$E,5,FALSE())*$U70,"")</f>
        <v/>
      </c>
      <c r="AS70" s="9" t="n">
        <f aca="false">IF($L70="","",$L70*2.6)</f>
        <v>329999.8</v>
      </c>
      <c r="AT70" s="9"/>
      <c r="AU70" s="9" t="n">
        <v>330000</v>
      </c>
      <c r="AV70" s="9" t="n">
        <v>330000</v>
      </c>
      <c r="AW70" s="9" t="n">
        <v>0</v>
      </c>
      <c r="AX70" s="7" t="s">
        <v>102</v>
      </c>
      <c r="AY70" s="7" t="s">
        <v>94</v>
      </c>
      <c r="AZ70" s="7"/>
      <c r="BA70" s="7" t="s">
        <v>538</v>
      </c>
      <c r="BB70" s="7" t="s">
        <v>539</v>
      </c>
      <c r="BC70" s="11" t="s">
        <v>540</v>
      </c>
      <c r="BD70" s="7" t="s">
        <v>98</v>
      </c>
      <c r="BE70" s="11" t="s">
        <v>99</v>
      </c>
    </row>
    <row r="71" customFormat="false" ht="15" hidden="false" customHeight="false" outlineLevel="0" collapsed="false">
      <c r="A71" s="6" t="n">
        <v>70</v>
      </c>
      <c r="B71" s="7" t="s">
        <v>418</v>
      </c>
      <c r="C71" s="7" t="s">
        <v>541</v>
      </c>
      <c r="D71" s="8" t="n">
        <v>1.29</v>
      </c>
      <c r="E71" s="7" t="s">
        <v>172</v>
      </c>
      <c r="F71" s="7" t="s">
        <v>123</v>
      </c>
      <c r="G71" s="6" t="n">
        <v>1</v>
      </c>
      <c r="H71" s="7" t="s">
        <v>87</v>
      </c>
      <c r="I71" s="7" t="s">
        <v>271</v>
      </c>
      <c r="J71" s="7" t="s">
        <v>542</v>
      </c>
      <c r="K71" s="7" t="s">
        <v>88</v>
      </c>
      <c r="L71" s="9" t="n">
        <v>483750</v>
      </c>
      <c r="M71" s="9"/>
      <c r="N71" s="9"/>
      <c r="O71" s="7" t="s">
        <v>108</v>
      </c>
      <c r="P71" s="7" t="s">
        <v>372</v>
      </c>
      <c r="Q71" s="7" t="s">
        <v>90</v>
      </c>
      <c r="R71" s="7" t="s">
        <v>543</v>
      </c>
      <c r="S71" s="7" t="s">
        <v>356</v>
      </c>
      <c r="T71" s="7" t="s">
        <v>93</v>
      </c>
      <c r="U71" s="10"/>
      <c r="V71" s="7"/>
      <c r="W71" s="7"/>
      <c r="X71" s="7"/>
      <c r="Y71" s="7"/>
      <c r="Z71" s="7"/>
      <c r="AA71" s="7"/>
      <c r="AB71" s="8"/>
      <c r="AC71" s="6"/>
      <c r="AD71" s="6"/>
      <c r="AE71" s="6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8"/>
      <c r="AR71" s="9" t="str">
        <f aca="false">IFERROR(VLOOKUP($X71,Lotes!$A:$E,5,FALSE())*$U71,"")</f>
        <v/>
      </c>
      <c r="AS71" s="9" t="n">
        <f aca="false">IF($L71="","",$L71*2.6)</f>
        <v>1257750</v>
      </c>
      <c r="AT71" s="9"/>
      <c r="AU71" s="9" t="n">
        <v>725625</v>
      </c>
      <c r="AV71" s="9" t="n">
        <v>725625</v>
      </c>
      <c r="AW71" s="9" t="n">
        <v>0</v>
      </c>
      <c r="AX71" s="7" t="s">
        <v>372</v>
      </c>
      <c r="AY71" s="7" t="s">
        <v>94</v>
      </c>
      <c r="AZ71" s="7"/>
      <c r="BA71" s="7" t="s">
        <v>544</v>
      </c>
      <c r="BB71" s="7" t="s">
        <v>545</v>
      </c>
      <c r="BC71" s="11" t="s">
        <v>546</v>
      </c>
      <c r="BD71" s="7" t="s">
        <v>98</v>
      </c>
      <c r="BE71" s="11"/>
    </row>
    <row r="72" customFormat="false" ht="15" hidden="false" customHeight="false" outlineLevel="0" collapsed="false">
      <c r="A72" s="6" t="n">
        <v>71</v>
      </c>
      <c r="B72" s="7" t="s">
        <v>418</v>
      </c>
      <c r="C72" s="7" t="s">
        <v>547</v>
      </c>
      <c r="D72" s="8" t="n">
        <v>0.47</v>
      </c>
      <c r="E72" s="7" t="s">
        <v>172</v>
      </c>
      <c r="F72" s="7" t="s">
        <v>86</v>
      </c>
      <c r="G72" s="6" t="n">
        <v>1</v>
      </c>
      <c r="H72" s="7" t="s">
        <v>87</v>
      </c>
      <c r="I72" s="7" t="s">
        <v>271</v>
      </c>
      <c r="J72" s="7" t="s">
        <v>548</v>
      </c>
      <c r="K72" s="7" t="s">
        <v>88</v>
      </c>
      <c r="L72" s="9" t="n">
        <v>176250</v>
      </c>
      <c r="M72" s="9"/>
      <c r="N72" s="9"/>
      <c r="O72" s="7" t="s">
        <v>41</v>
      </c>
      <c r="P72" s="7" t="s">
        <v>89</v>
      </c>
      <c r="Q72" s="7" t="s">
        <v>90</v>
      </c>
      <c r="R72" s="7" t="s">
        <v>549</v>
      </c>
      <c r="S72" s="7" t="s">
        <v>356</v>
      </c>
      <c r="T72" s="7" t="s">
        <v>93</v>
      </c>
      <c r="U72" s="10"/>
      <c r="V72" s="7"/>
      <c r="W72" s="7"/>
      <c r="X72" s="7"/>
      <c r="Y72" s="7"/>
      <c r="Z72" s="7"/>
      <c r="AA72" s="7"/>
      <c r="AB72" s="8"/>
      <c r="AC72" s="6"/>
      <c r="AD72" s="6"/>
      <c r="AE72" s="6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8"/>
      <c r="AR72" s="9" t="str">
        <f aca="false">IFERROR(VLOOKUP($X72,Lotes!$A:$E,5,FALSE())*$U72,"")</f>
        <v/>
      </c>
      <c r="AS72" s="9" t="n">
        <f aca="false">IF($L72="","",$L72*2.6)</f>
        <v>458250</v>
      </c>
      <c r="AT72" s="9"/>
      <c r="AU72" s="9" t="n">
        <v>264375</v>
      </c>
      <c r="AV72" s="9" t="n">
        <v>211235.625</v>
      </c>
      <c r="AW72" s="9" t="n">
        <v>235.625</v>
      </c>
      <c r="AX72" s="7" t="s">
        <v>89</v>
      </c>
      <c r="AY72" s="7" t="s">
        <v>94</v>
      </c>
      <c r="AZ72" s="7"/>
      <c r="BA72" s="7" t="s">
        <v>550</v>
      </c>
      <c r="BB72" s="7" t="s">
        <v>551</v>
      </c>
      <c r="BC72" s="11" t="s">
        <v>552</v>
      </c>
      <c r="BD72" s="7" t="s">
        <v>98</v>
      </c>
      <c r="BE72" s="11"/>
    </row>
    <row r="73" customFormat="false" ht="15" hidden="false" customHeight="false" outlineLevel="0" collapsed="false">
      <c r="A73" s="6" t="n">
        <v>72</v>
      </c>
      <c r="B73" s="7" t="s">
        <v>418</v>
      </c>
      <c r="C73" s="7" t="s">
        <v>553</v>
      </c>
      <c r="D73" s="8" t="n">
        <v>0.81</v>
      </c>
      <c r="E73" s="7" t="s">
        <v>172</v>
      </c>
      <c r="F73" s="7" t="s">
        <v>86</v>
      </c>
      <c r="G73" s="6" t="n">
        <v>1</v>
      </c>
      <c r="H73" s="7" t="s">
        <v>87</v>
      </c>
      <c r="I73" s="7" t="s">
        <v>271</v>
      </c>
      <c r="J73" s="7" t="s">
        <v>554</v>
      </c>
      <c r="K73" s="7" t="s">
        <v>88</v>
      </c>
      <c r="L73" s="9" t="n">
        <v>306000</v>
      </c>
      <c r="M73" s="9"/>
      <c r="N73" s="9"/>
      <c r="O73" s="7" t="s">
        <v>41</v>
      </c>
      <c r="P73" s="7" t="s">
        <v>102</v>
      </c>
      <c r="Q73" s="7" t="s">
        <v>90</v>
      </c>
      <c r="R73" s="7" t="s">
        <v>555</v>
      </c>
      <c r="S73" s="7" t="s">
        <v>356</v>
      </c>
      <c r="T73" s="7" t="s">
        <v>93</v>
      </c>
      <c r="U73" s="10"/>
      <c r="V73" s="7"/>
      <c r="W73" s="7"/>
      <c r="X73" s="7"/>
      <c r="Y73" s="7"/>
      <c r="Z73" s="7"/>
      <c r="AA73" s="7"/>
      <c r="AB73" s="8"/>
      <c r="AC73" s="6"/>
      <c r="AD73" s="6"/>
      <c r="AE73" s="6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8"/>
      <c r="AR73" s="9" t="str">
        <f aca="false">IFERROR(VLOOKUP($X73,Lotes!$A:$E,5,FALSE())*$U73,"")</f>
        <v/>
      </c>
      <c r="AS73" s="9" t="n">
        <f aca="false">IF($L73="","",$L73*2.6)</f>
        <v>795600</v>
      </c>
      <c r="AT73" s="9"/>
      <c r="AU73" s="9" t="n">
        <v>397800</v>
      </c>
      <c r="AV73" s="9" t="n">
        <v>397800</v>
      </c>
      <c r="AW73" s="9" t="n">
        <v>0</v>
      </c>
      <c r="AX73" s="7" t="s">
        <v>102</v>
      </c>
      <c r="AY73" s="7" t="s">
        <v>94</v>
      </c>
      <c r="AZ73" s="7"/>
      <c r="BA73" s="7" t="s">
        <v>556</v>
      </c>
      <c r="BB73" s="7" t="s">
        <v>557</v>
      </c>
      <c r="BC73" s="11" t="s">
        <v>558</v>
      </c>
      <c r="BD73" s="7" t="s">
        <v>98</v>
      </c>
      <c r="BE73" s="11"/>
    </row>
    <row r="74" customFormat="false" ht="15" hidden="false" customHeight="false" outlineLevel="0" collapsed="false">
      <c r="A74" s="6" t="n">
        <v>73</v>
      </c>
      <c r="B74" s="7" t="s">
        <v>418</v>
      </c>
      <c r="C74" s="7" t="s">
        <v>559</v>
      </c>
      <c r="D74" s="8" t="n">
        <v>0.7</v>
      </c>
      <c r="E74" s="7" t="s">
        <v>172</v>
      </c>
      <c r="F74" s="7" t="s">
        <v>123</v>
      </c>
      <c r="G74" s="6" t="n">
        <v>1</v>
      </c>
      <c r="H74" s="7" t="s">
        <v>87</v>
      </c>
      <c r="I74" s="7" t="s">
        <v>271</v>
      </c>
      <c r="J74" s="7" t="s">
        <v>560</v>
      </c>
      <c r="K74" s="7" t="s">
        <v>88</v>
      </c>
      <c r="L74" s="9" t="n">
        <v>262500</v>
      </c>
      <c r="M74" s="9"/>
      <c r="N74" s="9"/>
      <c r="O74" s="7" t="s">
        <v>41</v>
      </c>
      <c r="P74" s="7" t="s">
        <v>89</v>
      </c>
      <c r="Q74" s="7" t="s">
        <v>90</v>
      </c>
      <c r="R74" s="7" t="s">
        <v>561</v>
      </c>
      <c r="S74" s="7" t="s">
        <v>356</v>
      </c>
      <c r="T74" s="7" t="s">
        <v>111</v>
      </c>
      <c r="U74" s="10"/>
      <c r="V74" s="7"/>
      <c r="W74" s="7"/>
      <c r="X74" s="7"/>
      <c r="Y74" s="7"/>
      <c r="Z74" s="7"/>
      <c r="AA74" s="7"/>
      <c r="AB74" s="8"/>
      <c r="AC74" s="6"/>
      <c r="AD74" s="6"/>
      <c r="AE74" s="6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8"/>
      <c r="AR74" s="9" t="str">
        <f aca="false">IFERROR(VLOOKUP($X74,Lotes!$A:$E,5,FALSE())*$U74,"")</f>
        <v/>
      </c>
      <c r="AS74" s="9" t="n">
        <f aca="false">IF($L74="","",$L74*2.6)</f>
        <v>682500</v>
      </c>
      <c r="AT74" s="9"/>
      <c r="AU74" s="9" t="n">
        <v>328125</v>
      </c>
      <c r="AV74" s="9" t="n">
        <v>328125</v>
      </c>
      <c r="AW74" s="9" t="n">
        <v>328125</v>
      </c>
      <c r="AX74" s="7" t="s">
        <v>89</v>
      </c>
      <c r="AY74" s="7" t="s">
        <v>112</v>
      </c>
      <c r="AZ74" s="7"/>
      <c r="BA74" s="7" t="s">
        <v>562</v>
      </c>
      <c r="BB74" s="7" t="s">
        <v>563</v>
      </c>
      <c r="BC74" s="11" t="s">
        <v>564</v>
      </c>
      <c r="BD74" s="7" t="s">
        <v>98</v>
      </c>
      <c r="BE74" s="11"/>
    </row>
    <row r="75" customFormat="false" ht="15" hidden="false" customHeight="false" outlineLevel="0" collapsed="false">
      <c r="A75" s="6" t="n">
        <v>74</v>
      </c>
      <c r="B75" s="7" t="s">
        <v>418</v>
      </c>
      <c r="C75" s="7" t="s">
        <v>565</v>
      </c>
      <c r="D75" s="8" t="n">
        <v>0.7</v>
      </c>
      <c r="E75" s="7" t="s">
        <v>172</v>
      </c>
      <c r="F75" s="7" t="s">
        <v>148</v>
      </c>
      <c r="G75" s="6" t="n">
        <v>1</v>
      </c>
      <c r="H75" s="7" t="s">
        <v>87</v>
      </c>
      <c r="I75" s="7" t="s">
        <v>271</v>
      </c>
      <c r="J75" s="7" t="s">
        <v>566</v>
      </c>
      <c r="K75" s="7" t="s">
        <v>88</v>
      </c>
      <c r="L75" s="9" t="n">
        <v>250000</v>
      </c>
      <c r="M75" s="9"/>
      <c r="N75" s="9"/>
      <c r="O75" s="7" t="s">
        <v>41</v>
      </c>
      <c r="P75" s="7" t="s">
        <v>89</v>
      </c>
      <c r="Q75" s="7" t="s">
        <v>90</v>
      </c>
      <c r="R75" s="7" t="s">
        <v>567</v>
      </c>
      <c r="S75" s="7" t="s">
        <v>356</v>
      </c>
      <c r="T75" s="7" t="s">
        <v>93</v>
      </c>
      <c r="U75" s="10"/>
      <c r="V75" s="7"/>
      <c r="W75" s="7"/>
      <c r="X75" s="7"/>
      <c r="Y75" s="7"/>
      <c r="Z75" s="7"/>
      <c r="AA75" s="7"/>
      <c r="AB75" s="8"/>
      <c r="AC75" s="6"/>
      <c r="AD75" s="6"/>
      <c r="AE75" s="6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8"/>
      <c r="AR75" s="9" t="str">
        <f aca="false">IFERROR(VLOOKUP($X75,Lotes!$A:$E,5,FALSE())*$U75,"")</f>
        <v/>
      </c>
      <c r="AS75" s="9" t="n">
        <f aca="false">IF($L75="","",$L75*2.6)</f>
        <v>650000</v>
      </c>
      <c r="AT75" s="9"/>
      <c r="AU75" s="9" t="n">
        <v>295000</v>
      </c>
      <c r="AV75" s="9" t="n">
        <v>295000</v>
      </c>
      <c r="AW75" s="9" t="n">
        <v>0</v>
      </c>
      <c r="AX75" s="7" t="s">
        <v>89</v>
      </c>
      <c r="AY75" s="7" t="s">
        <v>94</v>
      </c>
      <c r="AZ75" s="7"/>
      <c r="BA75" s="7" t="s">
        <v>568</v>
      </c>
      <c r="BB75" s="7" t="s">
        <v>569</v>
      </c>
      <c r="BC75" s="11" t="s">
        <v>570</v>
      </c>
      <c r="BD75" s="7" t="s">
        <v>98</v>
      </c>
      <c r="BE75" s="11"/>
    </row>
    <row r="76" customFormat="false" ht="15" hidden="false" customHeight="false" outlineLevel="0" collapsed="false">
      <c r="A76" s="6" t="n">
        <v>75</v>
      </c>
      <c r="B76" s="7" t="s">
        <v>571</v>
      </c>
      <c r="C76" s="7" t="s">
        <v>572</v>
      </c>
      <c r="D76" s="8" t="n">
        <v>0.32</v>
      </c>
      <c r="E76" s="7" t="s">
        <v>172</v>
      </c>
      <c r="F76" s="7" t="s">
        <v>148</v>
      </c>
      <c r="G76" s="6" t="n">
        <v>1</v>
      </c>
      <c r="H76" s="7" t="s">
        <v>178</v>
      </c>
      <c r="I76" s="7" t="s">
        <v>271</v>
      </c>
      <c r="J76" s="7" t="s">
        <v>573</v>
      </c>
      <c r="K76" s="7" t="s">
        <v>88</v>
      </c>
      <c r="L76" s="9" t="n">
        <v>226000</v>
      </c>
      <c r="M76" s="9"/>
      <c r="N76" s="9"/>
      <c r="O76" s="7" t="s">
        <v>41</v>
      </c>
      <c r="P76" s="7" t="s">
        <v>109</v>
      </c>
      <c r="Q76" s="7" t="s">
        <v>155</v>
      </c>
      <c r="R76" s="7" t="s">
        <v>574</v>
      </c>
      <c r="S76" s="7" t="s">
        <v>356</v>
      </c>
      <c r="T76" s="7"/>
      <c r="U76" s="10"/>
      <c r="V76" s="7"/>
      <c r="W76" s="7"/>
      <c r="X76" s="7"/>
      <c r="Y76" s="7"/>
      <c r="Z76" s="7"/>
      <c r="AA76" s="7"/>
      <c r="AB76" s="8"/>
      <c r="AC76" s="6"/>
      <c r="AD76" s="6"/>
      <c r="AE76" s="6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8"/>
      <c r="AR76" s="9" t="str">
        <f aca="false">IFERROR(VLOOKUP($X76,Lotes!$A:$E,5,FALSE())*$U76,"")</f>
        <v/>
      </c>
      <c r="AS76" s="9" t="n">
        <f aca="false">IF($L76="","",$L76*2.6)</f>
        <v>587600</v>
      </c>
      <c r="AT76" s="9"/>
      <c r="AU76" s="9" t="n">
        <v>293800</v>
      </c>
      <c r="AV76" s="9" t="n">
        <v>293800</v>
      </c>
      <c r="AW76" s="9" t="n">
        <v>293800</v>
      </c>
      <c r="AX76" s="7" t="s">
        <v>109</v>
      </c>
      <c r="AY76" s="7" t="s">
        <v>575</v>
      </c>
      <c r="AZ76" s="7"/>
      <c r="BA76" s="7" t="s">
        <v>576</v>
      </c>
      <c r="BB76" s="7" t="s">
        <v>577</v>
      </c>
      <c r="BC76" s="11" t="s">
        <v>578</v>
      </c>
      <c r="BD76" s="7" t="s">
        <v>98</v>
      </c>
      <c r="BE76" s="11"/>
    </row>
    <row r="77" customFormat="false" ht="68.65" hidden="false" customHeight="false" outlineLevel="0" collapsed="false">
      <c r="A77" s="6" t="n">
        <v>76</v>
      </c>
      <c r="B77" s="7" t="s">
        <v>571</v>
      </c>
      <c r="C77" s="7" t="s">
        <v>579</v>
      </c>
      <c r="D77" s="8" t="n">
        <v>0.78</v>
      </c>
      <c r="E77" s="7" t="s">
        <v>172</v>
      </c>
      <c r="F77" s="7" t="s">
        <v>123</v>
      </c>
      <c r="G77" s="6" t="n">
        <v>2</v>
      </c>
      <c r="H77" s="7" t="s">
        <v>178</v>
      </c>
      <c r="I77" s="7" t="s">
        <v>271</v>
      </c>
      <c r="J77" s="7" t="s">
        <v>580</v>
      </c>
      <c r="K77" s="7" t="s">
        <v>88</v>
      </c>
      <c r="L77" s="9" t="n">
        <v>236000</v>
      </c>
      <c r="M77" s="9"/>
      <c r="N77" s="9"/>
      <c r="O77" s="7" t="s">
        <v>154</v>
      </c>
      <c r="P77" s="7" t="s">
        <v>89</v>
      </c>
      <c r="Q77" s="7" t="s">
        <v>155</v>
      </c>
      <c r="R77" s="7" t="s">
        <v>581</v>
      </c>
      <c r="S77" s="7" t="s">
        <v>356</v>
      </c>
      <c r="T77" s="7"/>
      <c r="U77" s="10"/>
      <c r="V77" s="7"/>
      <c r="W77" s="7"/>
      <c r="X77" s="7" t="s">
        <v>582</v>
      </c>
      <c r="Y77" s="7"/>
      <c r="Z77" s="7"/>
      <c r="AA77" s="7"/>
      <c r="AB77" s="8"/>
      <c r="AC77" s="6"/>
      <c r="AD77" s="6"/>
      <c r="AE77" s="6"/>
      <c r="AF77" s="7" t="s">
        <v>583</v>
      </c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8" t="n">
        <v>0.59</v>
      </c>
      <c r="AR77" s="9" t="n">
        <f aca="false">IFERROR(VLOOKUP($X77,Lotes!$A:$E,5,FALSE())*$U77,"")</f>
        <v>0</v>
      </c>
      <c r="AS77" s="9" t="n">
        <f aca="false">IF($L77="","",$L77*2.6)</f>
        <v>613600</v>
      </c>
      <c r="AT77" s="9"/>
      <c r="AU77" s="9" t="n">
        <v>823500</v>
      </c>
      <c r="AV77" s="9" t="n">
        <v>823500</v>
      </c>
      <c r="AW77" s="9" t="n">
        <v>823500</v>
      </c>
      <c r="AX77" s="7" t="s">
        <v>159</v>
      </c>
      <c r="AY77" s="7" t="s">
        <v>160</v>
      </c>
      <c r="AZ77" s="7"/>
      <c r="BA77" s="7" t="s">
        <v>584</v>
      </c>
      <c r="BB77" s="7" t="s">
        <v>585</v>
      </c>
      <c r="BC77" s="11" t="s">
        <v>586</v>
      </c>
      <c r="BD77" s="7" t="s">
        <v>164</v>
      </c>
      <c r="BE77" s="11" t="s">
        <v>587</v>
      </c>
    </row>
    <row r="78" customFormat="false" ht="68.65" hidden="false" customHeight="false" outlineLevel="0" collapsed="false">
      <c r="A78" s="6" t="n">
        <v>77</v>
      </c>
      <c r="B78" s="7" t="s">
        <v>571</v>
      </c>
      <c r="C78" s="7" t="s">
        <v>588</v>
      </c>
      <c r="D78" s="8" t="n">
        <v>0.47</v>
      </c>
      <c r="E78" s="7" t="s">
        <v>172</v>
      </c>
      <c r="F78" s="7" t="s">
        <v>86</v>
      </c>
      <c r="G78" s="6" t="n">
        <v>2</v>
      </c>
      <c r="H78" s="7" t="s">
        <v>178</v>
      </c>
      <c r="I78" s="7" t="s">
        <v>271</v>
      </c>
      <c r="J78" s="7" t="s">
        <v>589</v>
      </c>
      <c r="K78" s="7" t="s">
        <v>88</v>
      </c>
      <c r="L78" s="9" t="n">
        <v>156000</v>
      </c>
      <c r="M78" s="9"/>
      <c r="N78" s="9"/>
      <c r="O78" s="7" t="s">
        <v>154</v>
      </c>
      <c r="P78" s="7" t="s">
        <v>89</v>
      </c>
      <c r="Q78" s="7" t="s">
        <v>155</v>
      </c>
      <c r="R78" s="7" t="s">
        <v>590</v>
      </c>
      <c r="S78" s="7" t="s">
        <v>356</v>
      </c>
      <c r="T78" s="7"/>
      <c r="U78" s="10"/>
      <c r="V78" s="7"/>
      <c r="W78" s="7"/>
      <c r="X78" s="7" t="s">
        <v>591</v>
      </c>
      <c r="Y78" s="7"/>
      <c r="Z78" s="7"/>
      <c r="AA78" s="7"/>
      <c r="AB78" s="8"/>
      <c r="AC78" s="6"/>
      <c r="AD78" s="6"/>
      <c r="AE78" s="6"/>
      <c r="AF78" s="7" t="s">
        <v>583</v>
      </c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8" t="n">
        <v>0.55</v>
      </c>
      <c r="AR78" s="9" t="n">
        <f aca="false">IFERROR(VLOOKUP($X78,Lotes!$A:$E,5,FALSE())*$U78,"")</f>
        <v>0</v>
      </c>
      <c r="AS78" s="9" t="n">
        <f aca="false">IF($L78="","",$L78*2.6)</f>
        <v>405600</v>
      </c>
      <c r="AT78" s="9"/>
      <c r="AU78" s="9" t="n">
        <v>486000</v>
      </c>
      <c r="AV78" s="9" t="n">
        <v>486000</v>
      </c>
      <c r="AW78" s="9" t="n">
        <v>486000</v>
      </c>
      <c r="AX78" s="7" t="s">
        <v>159</v>
      </c>
      <c r="AY78" s="7" t="s">
        <v>160</v>
      </c>
      <c r="AZ78" s="7"/>
      <c r="BA78" s="7" t="s">
        <v>592</v>
      </c>
      <c r="BB78" s="7" t="s">
        <v>593</v>
      </c>
      <c r="BC78" s="11" t="s">
        <v>594</v>
      </c>
      <c r="BD78" s="7" t="s">
        <v>164</v>
      </c>
      <c r="BE78" s="11" t="s">
        <v>595</v>
      </c>
    </row>
    <row r="79" customFormat="false" ht="23.85" hidden="false" customHeight="false" outlineLevel="0" collapsed="false">
      <c r="A79" s="6" t="n">
        <v>78</v>
      </c>
      <c r="B79" s="7" t="s">
        <v>571</v>
      </c>
      <c r="C79" s="7" t="s">
        <v>596</v>
      </c>
      <c r="D79" s="8" t="n">
        <v>0.28</v>
      </c>
      <c r="E79" s="7" t="s">
        <v>172</v>
      </c>
      <c r="F79" s="7" t="s">
        <v>86</v>
      </c>
      <c r="G79" s="6" t="n">
        <v>1</v>
      </c>
      <c r="H79" s="7" t="s">
        <v>178</v>
      </c>
      <c r="I79" s="7" t="s">
        <v>271</v>
      </c>
      <c r="J79" s="7" t="s">
        <v>597</v>
      </c>
      <c r="K79" s="7" t="s">
        <v>88</v>
      </c>
      <c r="L79" s="9" t="n">
        <v>76154</v>
      </c>
      <c r="M79" s="9"/>
      <c r="N79" s="9"/>
      <c r="O79" s="7" t="s">
        <v>41</v>
      </c>
      <c r="P79" s="7" t="s">
        <v>102</v>
      </c>
      <c r="Q79" s="7" t="s">
        <v>90</v>
      </c>
      <c r="R79" s="7" t="s">
        <v>598</v>
      </c>
      <c r="S79" s="7" t="s">
        <v>356</v>
      </c>
      <c r="T79" s="7" t="s">
        <v>93</v>
      </c>
      <c r="U79" s="10"/>
      <c r="V79" s="7"/>
      <c r="W79" s="7"/>
      <c r="X79" s="7"/>
      <c r="Y79" s="7"/>
      <c r="Z79" s="7"/>
      <c r="AA79" s="7"/>
      <c r="AB79" s="8"/>
      <c r="AC79" s="6"/>
      <c r="AD79" s="6"/>
      <c r="AE79" s="6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8"/>
      <c r="AR79" s="9" t="str">
        <f aca="false">IFERROR(VLOOKUP($X79,Lotes!$A:$E,5,FALSE())*$U79,"")</f>
        <v/>
      </c>
      <c r="AS79" s="9" t="n">
        <f aca="false">IF($L79="","",$L79*2.6)</f>
        <v>198000.4</v>
      </c>
      <c r="AT79" s="9"/>
      <c r="AU79" s="9" t="n">
        <v>198000</v>
      </c>
      <c r="AV79" s="9" t="n">
        <v>198000</v>
      </c>
      <c r="AW79" s="9" t="n">
        <v>0</v>
      </c>
      <c r="AX79" s="7" t="s">
        <v>102</v>
      </c>
      <c r="AY79" s="7" t="s">
        <v>94</v>
      </c>
      <c r="AZ79" s="7"/>
      <c r="BA79" s="7" t="s">
        <v>599</v>
      </c>
      <c r="BB79" s="7" t="s">
        <v>600</v>
      </c>
      <c r="BC79" s="11" t="s">
        <v>601</v>
      </c>
      <c r="BD79" s="7" t="s">
        <v>98</v>
      </c>
      <c r="BE79" s="11" t="s">
        <v>99</v>
      </c>
    </row>
    <row r="80" customFormat="false" ht="23.85" hidden="false" customHeight="false" outlineLevel="0" collapsed="false">
      <c r="A80" s="6" t="n">
        <v>79</v>
      </c>
      <c r="B80" s="7" t="s">
        <v>571</v>
      </c>
      <c r="C80" s="7" t="s">
        <v>602</v>
      </c>
      <c r="D80" s="8" t="n">
        <v>0.54</v>
      </c>
      <c r="E80" s="7" t="s">
        <v>172</v>
      </c>
      <c r="F80" s="7" t="s">
        <v>123</v>
      </c>
      <c r="G80" s="6" t="n">
        <v>1</v>
      </c>
      <c r="H80" s="7" t="s">
        <v>178</v>
      </c>
      <c r="I80" s="7" t="s">
        <v>271</v>
      </c>
      <c r="J80" s="7" t="s">
        <v>603</v>
      </c>
      <c r="K80" s="7" t="s">
        <v>88</v>
      </c>
      <c r="L80" s="9" t="n">
        <v>146923</v>
      </c>
      <c r="M80" s="9"/>
      <c r="N80" s="9"/>
      <c r="O80" s="7" t="s">
        <v>41</v>
      </c>
      <c r="P80" s="7" t="s">
        <v>372</v>
      </c>
      <c r="Q80" s="7"/>
      <c r="R80" s="7" t="s">
        <v>604</v>
      </c>
      <c r="S80" s="7" t="s">
        <v>356</v>
      </c>
      <c r="T80" s="7"/>
      <c r="U80" s="10"/>
      <c r="V80" s="7"/>
      <c r="W80" s="7"/>
      <c r="X80" s="7"/>
      <c r="Y80" s="7"/>
      <c r="Z80" s="7"/>
      <c r="AA80" s="7"/>
      <c r="AB80" s="8"/>
      <c r="AC80" s="6"/>
      <c r="AD80" s="6"/>
      <c r="AE80" s="6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8"/>
      <c r="AR80" s="9" t="str">
        <f aca="false">IFERROR(VLOOKUP($X80,Lotes!$A:$E,5,FALSE())*$U80,"")</f>
        <v/>
      </c>
      <c r="AS80" s="9" t="n">
        <f aca="false">IF($L80="","",$L80*2.6)</f>
        <v>381999.8</v>
      </c>
      <c r="AT80" s="9"/>
      <c r="AU80" s="9" t="n">
        <v>382000</v>
      </c>
      <c r="AV80" s="9" t="n">
        <v>382000</v>
      </c>
      <c r="AW80" s="9" t="n">
        <v>382000</v>
      </c>
      <c r="AX80" s="7" t="s">
        <v>372</v>
      </c>
      <c r="AY80" s="7" t="s">
        <v>575</v>
      </c>
      <c r="AZ80" s="7"/>
      <c r="BA80" s="7" t="s">
        <v>605</v>
      </c>
      <c r="BB80" s="7" t="s">
        <v>606</v>
      </c>
      <c r="BC80" s="11" t="s">
        <v>607</v>
      </c>
      <c r="BD80" s="7" t="s">
        <v>98</v>
      </c>
      <c r="BE80" s="11" t="s">
        <v>99</v>
      </c>
    </row>
    <row r="81" customFormat="false" ht="79.85" hidden="false" customHeight="false" outlineLevel="0" collapsed="false">
      <c r="A81" s="6" t="n">
        <v>80</v>
      </c>
      <c r="B81" s="7" t="s">
        <v>571</v>
      </c>
      <c r="C81" s="7" t="s">
        <v>608</v>
      </c>
      <c r="D81" s="8" t="n">
        <v>0.7</v>
      </c>
      <c r="E81" s="7" t="s">
        <v>172</v>
      </c>
      <c r="F81" s="7" t="s">
        <v>123</v>
      </c>
      <c r="G81" s="6" t="n">
        <v>1</v>
      </c>
      <c r="H81" s="7" t="s">
        <v>178</v>
      </c>
      <c r="I81" s="7" t="s">
        <v>271</v>
      </c>
      <c r="J81" s="7" t="s">
        <v>609</v>
      </c>
      <c r="K81" s="7" t="s">
        <v>88</v>
      </c>
      <c r="L81" s="9" t="n">
        <v>213576</v>
      </c>
      <c r="M81" s="9"/>
      <c r="N81" s="9"/>
      <c r="O81" s="7" t="s">
        <v>154</v>
      </c>
      <c r="P81" s="7" t="s">
        <v>89</v>
      </c>
      <c r="Q81" s="7" t="s">
        <v>155</v>
      </c>
      <c r="R81" s="7" t="s">
        <v>610</v>
      </c>
      <c r="S81" s="7" t="s">
        <v>356</v>
      </c>
      <c r="T81" s="7"/>
      <c r="U81" s="10"/>
      <c r="V81" s="7"/>
      <c r="W81" s="7"/>
      <c r="X81" s="7" t="s">
        <v>611</v>
      </c>
      <c r="Y81" s="7"/>
      <c r="Z81" s="7"/>
      <c r="AA81" s="7"/>
      <c r="AB81" s="8"/>
      <c r="AC81" s="6"/>
      <c r="AD81" s="6"/>
      <c r="AE81" s="6"/>
      <c r="AF81" s="7" t="s">
        <v>583</v>
      </c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8" t="n">
        <v>1.3</v>
      </c>
      <c r="AR81" s="9" t="n">
        <f aca="false">IFERROR(VLOOKUP($X81,Lotes!$A:$E,5,FALSE())*$U81,"")</f>
        <v>0</v>
      </c>
      <c r="AS81" s="9" t="n">
        <f aca="false">IF($L81="","",$L81*2.6)</f>
        <v>555297.6</v>
      </c>
      <c r="AT81" s="9"/>
      <c r="AU81" s="9" t="n">
        <v>519200</v>
      </c>
      <c r="AV81" s="9" t="n">
        <v>519200</v>
      </c>
      <c r="AW81" s="9" t="n">
        <v>519200</v>
      </c>
      <c r="AX81" s="7" t="s">
        <v>159</v>
      </c>
      <c r="AY81" s="7" t="s">
        <v>160</v>
      </c>
      <c r="AZ81" s="7"/>
      <c r="BA81" s="7" t="s">
        <v>612</v>
      </c>
      <c r="BB81" s="7" t="s">
        <v>613</v>
      </c>
      <c r="BC81" s="11" t="s">
        <v>614</v>
      </c>
      <c r="BD81" s="7" t="s">
        <v>164</v>
      </c>
      <c r="BE81" s="11" t="s">
        <v>615</v>
      </c>
    </row>
    <row r="82" customFormat="false" ht="57.45" hidden="false" customHeight="false" outlineLevel="0" collapsed="false">
      <c r="A82" s="6" t="n">
        <v>81</v>
      </c>
      <c r="B82" s="7" t="s">
        <v>571</v>
      </c>
      <c r="C82" s="7" t="s">
        <v>616</v>
      </c>
      <c r="D82" s="8" t="n">
        <v>0.84</v>
      </c>
      <c r="E82" s="7" t="s">
        <v>245</v>
      </c>
      <c r="F82" s="7" t="s">
        <v>86</v>
      </c>
      <c r="G82" s="6" t="n">
        <v>1</v>
      </c>
      <c r="H82" s="7" t="s">
        <v>178</v>
      </c>
      <c r="I82" s="7" t="s">
        <v>271</v>
      </c>
      <c r="J82" s="7" t="s">
        <v>617</v>
      </c>
      <c r="K82" s="7" t="s">
        <v>88</v>
      </c>
      <c r="L82" s="9" t="n">
        <v>580000</v>
      </c>
      <c r="M82" s="9"/>
      <c r="N82" s="9"/>
      <c r="O82" s="7" t="s">
        <v>154</v>
      </c>
      <c r="P82" s="7" t="s">
        <v>109</v>
      </c>
      <c r="Q82" s="7" t="s">
        <v>90</v>
      </c>
      <c r="R82" s="7" t="s">
        <v>618</v>
      </c>
      <c r="S82" s="7" t="s">
        <v>356</v>
      </c>
      <c r="T82" s="7"/>
      <c r="U82" s="10"/>
      <c r="V82" s="7"/>
      <c r="W82" s="7"/>
      <c r="X82" s="7"/>
      <c r="Y82" s="7"/>
      <c r="Z82" s="7"/>
      <c r="AA82" s="7"/>
      <c r="AB82" s="8"/>
      <c r="AC82" s="6"/>
      <c r="AD82" s="6"/>
      <c r="AE82" s="6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8"/>
      <c r="AR82" s="9" t="str">
        <f aca="false">IFERROR(VLOOKUP($X82,Lotes!$A:$E,5,FALSE())*$U82,"")</f>
        <v/>
      </c>
      <c r="AS82" s="9" t="n">
        <f aca="false">IF($L82="","",$L82*2.6)</f>
        <v>1508000</v>
      </c>
      <c r="AT82" s="9"/>
      <c r="AU82" s="9" t="n">
        <v>870000</v>
      </c>
      <c r="AV82" s="9" t="n">
        <v>870000</v>
      </c>
      <c r="AW82" s="9" t="n">
        <v>0</v>
      </c>
      <c r="AX82" s="7" t="s">
        <v>159</v>
      </c>
      <c r="AY82" s="7" t="s">
        <v>619</v>
      </c>
      <c r="AZ82" s="7"/>
      <c r="BA82" s="7" t="s">
        <v>620</v>
      </c>
      <c r="BB82" s="7" t="s">
        <v>621</v>
      </c>
      <c r="BC82" s="11" t="s">
        <v>622</v>
      </c>
      <c r="BD82" s="7" t="s">
        <v>98</v>
      </c>
      <c r="BE82" s="11" t="s">
        <v>623</v>
      </c>
    </row>
    <row r="83" customFormat="false" ht="68.65" hidden="false" customHeight="false" outlineLevel="0" collapsed="false">
      <c r="A83" s="6" t="n">
        <v>82</v>
      </c>
      <c r="B83" s="7" t="s">
        <v>571</v>
      </c>
      <c r="C83" s="7" t="s">
        <v>624</v>
      </c>
      <c r="D83" s="8" t="n">
        <v>0.15</v>
      </c>
      <c r="E83" s="7" t="s">
        <v>85</v>
      </c>
      <c r="F83" s="7" t="s">
        <v>86</v>
      </c>
      <c r="G83" s="6" t="n">
        <v>1</v>
      </c>
      <c r="H83" s="7" t="s">
        <v>101</v>
      </c>
      <c r="I83" s="7" t="s">
        <v>303</v>
      </c>
      <c r="J83" s="7" t="s">
        <v>625</v>
      </c>
      <c r="K83" s="7" t="s">
        <v>88</v>
      </c>
      <c r="L83" s="9" t="n">
        <v>44231</v>
      </c>
      <c r="M83" s="9"/>
      <c r="N83" s="9"/>
      <c r="O83" s="7" t="s">
        <v>41</v>
      </c>
      <c r="P83" s="7" t="s">
        <v>125</v>
      </c>
      <c r="Q83" s="7" t="s">
        <v>90</v>
      </c>
      <c r="R83" s="7" t="s">
        <v>626</v>
      </c>
      <c r="S83" s="7" t="s">
        <v>356</v>
      </c>
      <c r="T83" s="7" t="s">
        <v>93</v>
      </c>
      <c r="U83" s="10"/>
      <c r="V83" s="7"/>
      <c r="W83" s="7"/>
      <c r="X83" s="7"/>
      <c r="Y83" s="7"/>
      <c r="Z83" s="7"/>
      <c r="AA83" s="7"/>
      <c r="AB83" s="8"/>
      <c r="AC83" s="6"/>
      <c r="AD83" s="6"/>
      <c r="AE83" s="6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8"/>
      <c r="AR83" s="9" t="str">
        <f aca="false">IFERROR(VLOOKUP($X83,Lotes!$A:$E,5,FALSE())*$U83,"")</f>
        <v/>
      </c>
      <c r="AS83" s="9" t="n">
        <f aca="false">IF($L83="","",$L83*2.6)</f>
        <v>115000.6</v>
      </c>
      <c r="AT83" s="9"/>
      <c r="AU83" s="9" t="n">
        <v>115000</v>
      </c>
      <c r="AV83" s="9" t="n">
        <v>92000</v>
      </c>
      <c r="AW83" s="9" t="n">
        <v>0</v>
      </c>
      <c r="AX83" s="7" t="s">
        <v>127</v>
      </c>
      <c r="AY83" s="7" t="s">
        <v>94</v>
      </c>
      <c r="AZ83" s="7"/>
      <c r="BA83" s="7" t="s">
        <v>627</v>
      </c>
      <c r="BB83" s="7" t="s">
        <v>628</v>
      </c>
      <c r="BC83" s="11" t="s">
        <v>629</v>
      </c>
      <c r="BD83" s="7" t="s">
        <v>98</v>
      </c>
      <c r="BE83" s="11" t="s">
        <v>131</v>
      </c>
    </row>
    <row r="84" customFormat="false" ht="46.25" hidden="false" customHeight="false" outlineLevel="0" collapsed="false">
      <c r="A84" s="6" t="n">
        <v>83</v>
      </c>
      <c r="B84" s="7" t="s">
        <v>571</v>
      </c>
      <c r="C84" s="7" t="s">
        <v>630</v>
      </c>
      <c r="D84" s="8" t="n">
        <v>0.12</v>
      </c>
      <c r="E84" s="7" t="s">
        <v>245</v>
      </c>
      <c r="F84" s="7" t="s">
        <v>86</v>
      </c>
      <c r="G84" s="6" t="n">
        <v>2</v>
      </c>
      <c r="H84" s="7" t="s">
        <v>101</v>
      </c>
      <c r="I84" s="7" t="s">
        <v>303</v>
      </c>
      <c r="J84" s="7" t="s">
        <v>631</v>
      </c>
      <c r="K84" s="7" t="s">
        <v>88</v>
      </c>
      <c r="L84" s="9" t="n">
        <v>92500</v>
      </c>
      <c r="M84" s="9"/>
      <c r="N84" s="9"/>
      <c r="O84" s="7" t="s">
        <v>41</v>
      </c>
      <c r="P84" s="7" t="s">
        <v>125</v>
      </c>
      <c r="Q84" s="7" t="s">
        <v>90</v>
      </c>
      <c r="R84" s="7" t="s">
        <v>632</v>
      </c>
      <c r="S84" s="7" t="s">
        <v>356</v>
      </c>
      <c r="T84" s="7" t="s">
        <v>93</v>
      </c>
      <c r="U84" s="10"/>
      <c r="V84" s="7"/>
      <c r="W84" s="7"/>
      <c r="X84" s="7"/>
      <c r="Y84" s="7"/>
      <c r="Z84" s="7"/>
      <c r="AA84" s="7"/>
      <c r="AB84" s="8"/>
      <c r="AC84" s="6"/>
      <c r="AD84" s="6"/>
      <c r="AE84" s="6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8"/>
      <c r="AR84" s="9" t="str">
        <f aca="false">IFERROR(VLOOKUP($X84,Lotes!$A:$E,5,FALSE())*$U84,"")</f>
        <v/>
      </c>
      <c r="AS84" s="9" t="n">
        <f aca="false">IF($L84="","",$L84*2.6)</f>
        <v>240500</v>
      </c>
      <c r="AT84" s="9"/>
      <c r="AU84" s="9" t="n">
        <v>138750</v>
      </c>
      <c r="AV84" s="9" t="n">
        <v>92546.25</v>
      </c>
      <c r="AW84" s="9" t="n">
        <v>46.25</v>
      </c>
      <c r="AX84" s="7" t="s">
        <v>127</v>
      </c>
      <c r="AY84" s="7" t="s">
        <v>94</v>
      </c>
      <c r="AZ84" s="7"/>
      <c r="BA84" s="7" t="s">
        <v>633</v>
      </c>
      <c r="BB84" s="7" t="s">
        <v>634</v>
      </c>
      <c r="BC84" s="11" t="s">
        <v>635</v>
      </c>
      <c r="BD84" s="7" t="s">
        <v>98</v>
      </c>
      <c r="BE84" s="11" t="s">
        <v>205</v>
      </c>
    </row>
    <row r="85" customFormat="false" ht="15" hidden="false" customHeight="false" outlineLevel="0" collapsed="false">
      <c r="A85" s="6" t="n">
        <v>84</v>
      </c>
      <c r="B85" s="7" t="s">
        <v>571</v>
      </c>
      <c r="C85" s="7" t="s">
        <v>636</v>
      </c>
      <c r="D85" s="8" t="n">
        <v>0.16</v>
      </c>
      <c r="E85" s="7" t="s">
        <v>172</v>
      </c>
      <c r="F85" s="7" t="s">
        <v>86</v>
      </c>
      <c r="G85" s="6" t="n">
        <v>1</v>
      </c>
      <c r="H85" s="7" t="s">
        <v>101</v>
      </c>
      <c r="I85" s="7" t="s">
        <v>303</v>
      </c>
      <c r="J85" s="7" t="s">
        <v>637</v>
      </c>
      <c r="K85" s="7" t="s">
        <v>88</v>
      </c>
      <c r="L85" s="9" t="n">
        <v>122500</v>
      </c>
      <c r="M85" s="9"/>
      <c r="N85" s="9"/>
      <c r="O85" s="7" t="s">
        <v>41</v>
      </c>
      <c r="P85" s="7" t="s">
        <v>234</v>
      </c>
      <c r="Q85" s="7" t="s">
        <v>90</v>
      </c>
      <c r="R85" s="7" t="s">
        <v>638</v>
      </c>
      <c r="S85" s="7" t="s">
        <v>356</v>
      </c>
      <c r="T85" s="7" t="s">
        <v>111</v>
      </c>
      <c r="U85" s="10"/>
      <c r="V85" s="7"/>
      <c r="W85" s="7"/>
      <c r="X85" s="7"/>
      <c r="Y85" s="7"/>
      <c r="Z85" s="7"/>
      <c r="AA85" s="7"/>
      <c r="AB85" s="8"/>
      <c r="AC85" s="6"/>
      <c r="AD85" s="6"/>
      <c r="AE85" s="6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8"/>
      <c r="AR85" s="9" t="str">
        <f aca="false">IFERROR(VLOOKUP($X85,Lotes!$A:$E,5,FALSE())*$U85,"")</f>
        <v/>
      </c>
      <c r="AS85" s="9" t="n">
        <f aca="false">IF($L85="","",$L85*2.6)</f>
        <v>318500</v>
      </c>
      <c r="AT85" s="9"/>
      <c r="AU85" s="9" t="n">
        <v>183750</v>
      </c>
      <c r="AV85" s="9" t="n">
        <v>183750</v>
      </c>
      <c r="AW85" s="9" t="n">
        <v>183750</v>
      </c>
      <c r="AX85" s="7" t="s">
        <v>234</v>
      </c>
      <c r="AY85" s="7" t="s">
        <v>112</v>
      </c>
      <c r="AZ85" s="7"/>
      <c r="BA85" s="7" t="s">
        <v>639</v>
      </c>
      <c r="BB85" s="7" t="s">
        <v>640</v>
      </c>
      <c r="BC85" s="11" t="s">
        <v>641</v>
      </c>
      <c r="BD85" s="7" t="s">
        <v>98</v>
      </c>
      <c r="BE85" s="11"/>
    </row>
    <row r="86" customFormat="false" ht="68.65" hidden="false" customHeight="false" outlineLevel="0" collapsed="false">
      <c r="A86" s="6" t="n">
        <v>85</v>
      </c>
      <c r="B86" s="7" t="s">
        <v>571</v>
      </c>
      <c r="C86" s="7" t="s">
        <v>642</v>
      </c>
      <c r="D86" s="8" t="n">
        <v>0.22</v>
      </c>
      <c r="E86" s="7" t="s">
        <v>245</v>
      </c>
      <c r="F86" s="7" t="s">
        <v>86</v>
      </c>
      <c r="G86" s="6" t="n">
        <v>1</v>
      </c>
      <c r="H86" s="7" t="s">
        <v>101</v>
      </c>
      <c r="I86" s="7" t="s">
        <v>303</v>
      </c>
      <c r="J86" s="7" t="s">
        <v>643</v>
      </c>
      <c r="K86" s="7" t="s">
        <v>88</v>
      </c>
      <c r="L86" s="9" t="n">
        <v>51846</v>
      </c>
      <c r="M86" s="9"/>
      <c r="N86" s="9"/>
      <c r="O86" s="7" t="s">
        <v>154</v>
      </c>
      <c r="P86" s="7" t="s">
        <v>261</v>
      </c>
      <c r="Q86" s="7" t="s">
        <v>90</v>
      </c>
      <c r="R86" s="7" t="s">
        <v>644</v>
      </c>
      <c r="S86" s="7" t="s">
        <v>356</v>
      </c>
      <c r="T86" s="7" t="s">
        <v>93</v>
      </c>
      <c r="U86" s="10"/>
      <c r="V86" s="7"/>
      <c r="W86" s="7"/>
      <c r="X86" s="7"/>
      <c r="Y86" s="7"/>
      <c r="Z86" s="7"/>
      <c r="AA86" s="7"/>
      <c r="AB86" s="8"/>
      <c r="AC86" s="6"/>
      <c r="AD86" s="6"/>
      <c r="AE86" s="6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8"/>
      <c r="AR86" s="9" t="str">
        <f aca="false">IFERROR(VLOOKUP($X86,Lotes!$A:$E,5,FALSE())*$U86,"")</f>
        <v/>
      </c>
      <c r="AS86" s="9" t="n">
        <f aca="false">IF($L86="","",$L86*2.6)</f>
        <v>134799.6</v>
      </c>
      <c r="AT86" s="9"/>
      <c r="AU86" s="9" t="n">
        <v>134800</v>
      </c>
      <c r="AV86" s="9" t="n">
        <v>134800</v>
      </c>
      <c r="AW86" s="9" t="n">
        <v>0</v>
      </c>
      <c r="AX86" s="7" t="s">
        <v>263</v>
      </c>
      <c r="AY86" s="7" t="s">
        <v>94</v>
      </c>
      <c r="AZ86" s="7"/>
      <c r="BA86" s="7" t="s">
        <v>645</v>
      </c>
      <c r="BB86" s="7" t="s">
        <v>646</v>
      </c>
      <c r="BC86" s="11" t="s">
        <v>647</v>
      </c>
      <c r="BD86" s="7" t="s">
        <v>98</v>
      </c>
      <c r="BE86" s="11" t="s">
        <v>267</v>
      </c>
    </row>
    <row r="87" customFormat="false" ht="15" hidden="false" customHeight="false" outlineLevel="0" collapsed="false">
      <c r="A87" s="6" t="n">
        <v>86</v>
      </c>
      <c r="B87" s="7" t="s">
        <v>648</v>
      </c>
      <c r="C87" s="7" t="s">
        <v>649</v>
      </c>
      <c r="D87" s="8" t="n">
        <v>0.55</v>
      </c>
      <c r="E87" s="7" t="s">
        <v>172</v>
      </c>
      <c r="F87" s="7" t="s">
        <v>86</v>
      </c>
      <c r="G87" s="6" t="n">
        <v>2</v>
      </c>
      <c r="H87" s="7" t="s">
        <v>101</v>
      </c>
      <c r="I87" s="7"/>
      <c r="J87" s="7"/>
      <c r="K87" s="7" t="s">
        <v>88</v>
      </c>
      <c r="L87" s="9" t="n">
        <v>288736</v>
      </c>
      <c r="M87" s="9"/>
      <c r="N87" s="9"/>
      <c r="O87" s="7" t="s">
        <v>41</v>
      </c>
      <c r="P87" s="7" t="s">
        <v>218</v>
      </c>
      <c r="Q87" s="7" t="s">
        <v>90</v>
      </c>
      <c r="R87" s="7" t="s">
        <v>650</v>
      </c>
      <c r="S87" s="7" t="s">
        <v>651</v>
      </c>
      <c r="T87" s="7" t="s">
        <v>93</v>
      </c>
      <c r="U87" s="10"/>
      <c r="V87" s="7"/>
      <c r="W87" s="7"/>
      <c r="X87" s="7"/>
      <c r="Y87" s="7"/>
      <c r="Z87" s="7"/>
      <c r="AA87" s="7"/>
      <c r="AB87" s="8"/>
      <c r="AC87" s="6"/>
      <c r="AD87" s="6"/>
      <c r="AE87" s="6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8"/>
      <c r="AR87" s="9" t="str">
        <f aca="false">IFERROR(VLOOKUP($X87,Lotes!$A:$E,5,FALSE())*$U87,"")</f>
        <v/>
      </c>
      <c r="AS87" s="9" t="n">
        <f aca="false">IF($L87="","",$L87*2.6)</f>
        <v>750713.6</v>
      </c>
      <c r="AT87" s="9"/>
      <c r="AU87" s="9" t="n">
        <v>650000</v>
      </c>
      <c r="AV87" s="9" t="n">
        <v>630500</v>
      </c>
      <c r="AW87" s="9" t="n">
        <v>0</v>
      </c>
      <c r="AX87" s="7" t="s">
        <v>218</v>
      </c>
      <c r="AY87" s="7" t="s">
        <v>94</v>
      </c>
      <c r="AZ87" s="7"/>
      <c r="BA87" s="7" t="s">
        <v>652</v>
      </c>
      <c r="BB87" s="7" t="s">
        <v>653</v>
      </c>
      <c r="BC87" s="11" t="s">
        <v>654</v>
      </c>
      <c r="BD87" s="7" t="s">
        <v>98</v>
      </c>
      <c r="BE87" s="11"/>
    </row>
    <row r="88" customFormat="false" ht="15" hidden="false" customHeight="false" outlineLevel="0" collapsed="false">
      <c r="A88" s="6" t="n">
        <v>87</v>
      </c>
      <c r="B88" s="7" t="s">
        <v>648</v>
      </c>
      <c r="C88" s="7" t="s">
        <v>655</v>
      </c>
      <c r="D88" s="8" t="n">
        <v>1.43</v>
      </c>
      <c r="E88" s="7" t="s">
        <v>172</v>
      </c>
      <c r="F88" s="7" t="s">
        <v>86</v>
      </c>
      <c r="G88" s="6" t="n">
        <v>2</v>
      </c>
      <c r="H88" s="7" t="s">
        <v>101</v>
      </c>
      <c r="I88" s="7" t="s">
        <v>303</v>
      </c>
      <c r="J88" s="7" t="s">
        <v>656</v>
      </c>
      <c r="K88" s="7" t="s">
        <v>88</v>
      </c>
      <c r="L88" s="9" t="n">
        <v>737308</v>
      </c>
      <c r="M88" s="9"/>
      <c r="N88" s="9"/>
      <c r="O88" s="7" t="s">
        <v>154</v>
      </c>
      <c r="P88" s="7" t="s">
        <v>657</v>
      </c>
      <c r="Q88" s="7" t="s">
        <v>90</v>
      </c>
      <c r="R88" s="7" t="s">
        <v>658</v>
      </c>
      <c r="S88" s="7" t="s">
        <v>356</v>
      </c>
      <c r="T88" s="7" t="s">
        <v>93</v>
      </c>
      <c r="U88" s="10"/>
      <c r="V88" s="7"/>
      <c r="W88" s="7"/>
      <c r="X88" s="7"/>
      <c r="Y88" s="7"/>
      <c r="Z88" s="7"/>
      <c r="AA88" s="7"/>
      <c r="AB88" s="8"/>
      <c r="AC88" s="6"/>
      <c r="AD88" s="6"/>
      <c r="AE88" s="6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8"/>
      <c r="AR88" s="9" t="str">
        <f aca="false">IFERROR(VLOOKUP($X88,Lotes!$A:$E,5,FALSE())*$U88,"")</f>
        <v/>
      </c>
      <c r="AS88" s="9" t="n">
        <f aca="false">IF($L88="","",$L88*2.6)</f>
        <v>1917000.8</v>
      </c>
      <c r="AT88" s="9"/>
      <c r="AU88" s="9" t="n">
        <v>2654000</v>
      </c>
      <c r="AV88" s="9" t="n">
        <v>1900264</v>
      </c>
      <c r="AW88" s="9" t="n">
        <v>0</v>
      </c>
      <c r="AX88" s="7" t="s">
        <v>657</v>
      </c>
      <c r="AY88" s="7" t="s">
        <v>94</v>
      </c>
      <c r="AZ88" s="7"/>
      <c r="BA88" s="7" t="s">
        <v>659</v>
      </c>
      <c r="BB88" s="7" t="s">
        <v>660</v>
      </c>
      <c r="BC88" s="11" t="s">
        <v>661</v>
      </c>
      <c r="BD88" s="7" t="s">
        <v>662</v>
      </c>
      <c r="BE88" s="11"/>
    </row>
    <row r="89" customFormat="false" ht="91" hidden="false" customHeight="false" outlineLevel="0" collapsed="false">
      <c r="A89" s="6" t="n">
        <v>88</v>
      </c>
      <c r="B89" s="7" t="s">
        <v>648</v>
      </c>
      <c r="C89" s="7" t="s">
        <v>663</v>
      </c>
      <c r="D89" s="8" t="n">
        <v>2.11</v>
      </c>
      <c r="E89" s="7" t="s">
        <v>85</v>
      </c>
      <c r="F89" s="7" t="s">
        <v>86</v>
      </c>
      <c r="G89" s="6" t="n">
        <v>1</v>
      </c>
      <c r="H89" s="7" t="s">
        <v>178</v>
      </c>
      <c r="I89" s="7" t="s">
        <v>271</v>
      </c>
      <c r="J89" s="7" t="s">
        <v>664</v>
      </c>
      <c r="K89" s="7" t="s">
        <v>88</v>
      </c>
      <c r="L89" s="9" t="n">
        <v>334000</v>
      </c>
      <c r="M89" s="9"/>
      <c r="N89" s="9"/>
      <c r="O89" s="7" t="s">
        <v>154</v>
      </c>
      <c r="P89" s="7" t="s">
        <v>89</v>
      </c>
      <c r="Q89" s="7" t="s">
        <v>155</v>
      </c>
      <c r="R89" s="7" t="s">
        <v>665</v>
      </c>
      <c r="S89" s="7" t="s">
        <v>356</v>
      </c>
      <c r="T89" s="7"/>
      <c r="U89" s="10"/>
      <c r="V89" s="7"/>
      <c r="W89" s="7"/>
      <c r="X89" s="7" t="s">
        <v>666</v>
      </c>
      <c r="Y89" s="7"/>
      <c r="Z89" s="7"/>
      <c r="AA89" s="7"/>
      <c r="AB89" s="8"/>
      <c r="AC89" s="6"/>
      <c r="AD89" s="6"/>
      <c r="AE89" s="6"/>
      <c r="AF89" s="7" t="s">
        <v>583</v>
      </c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8"/>
      <c r="AR89" s="9" t="n">
        <f aca="false">IFERROR(VLOOKUP($X89,Lotes!$A:$E,5,FALSE())*$U89,"")</f>
        <v>0</v>
      </c>
      <c r="AS89" s="9" t="n">
        <f aca="false">IF($L89="","",$L89*2.6)</f>
        <v>868400</v>
      </c>
      <c r="AT89" s="9"/>
      <c r="AU89" s="9" t="n">
        <v>3698914</v>
      </c>
      <c r="AV89" s="9" t="n">
        <v>3698914</v>
      </c>
      <c r="AW89" s="9" t="n">
        <v>3698914</v>
      </c>
      <c r="AX89" s="7" t="s">
        <v>159</v>
      </c>
      <c r="AY89" s="7" t="s">
        <v>160</v>
      </c>
      <c r="AZ89" s="7"/>
      <c r="BA89" s="7" t="s">
        <v>667</v>
      </c>
      <c r="BB89" s="7" t="s">
        <v>668</v>
      </c>
      <c r="BC89" s="11" t="s">
        <v>669</v>
      </c>
      <c r="BD89" s="7" t="s">
        <v>164</v>
      </c>
      <c r="BE89" s="11" t="s">
        <v>670</v>
      </c>
    </row>
    <row r="90" customFormat="false" ht="68.65" hidden="false" customHeight="false" outlineLevel="0" collapsed="false">
      <c r="A90" s="6" t="n">
        <v>89</v>
      </c>
      <c r="B90" s="7" t="s">
        <v>648</v>
      </c>
      <c r="C90" s="7" t="s">
        <v>671</v>
      </c>
      <c r="D90" s="8" t="n">
        <v>0.7</v>
      </c>
      <c r="E90" s="7" t="s">
        <v>172</v>
      </c>
      <c r="F90" s="7" t="s">
        <v>86</v>
      </c>
      <c r="G90" s="6" t="n">
        <v>2</v>
      </c>
      <c r="H90" s="7" t="s">
        <v>87</v>
      </c>
      <c r="I90" s="7" t="s">
        <v>271</v>
      </c>
      <c r="J90" s="7" t="s">
        <v>672</v>
      </c>
      <c r="K90" s="7" t="s">
        <v>88</v>
      </c>
      <c r="L90" s="9" t="n">
        <v>140300</v>
      </c>
      <c r="M90" s="9"/>
      <c r="N90" s="9"/>
      <c r="O90" s="7" t="s">
        <v>154</v>
      </c>
      <c r="P90" s="7" t="s">
        <v>89</v>
      </c>
      <c r="Q90" s="7" t="s">
        <v>155</v>
      </c>
      <c r="R90" s="7" t="s">
        <v>673</v>
      </c>
      <c r="S90" s="7" t="s">
        <v>651</v>
      </c>
      <c r="T90" s="7"/>
      <c r="U90" s="10"/>
      <c r="V90" s="7"/>
      <c r="W90" s="7"/>
      <c r="X90" s="7" t="s">
        <v>674</v>
      </c>
      <c r="Y90" s="7"/>
      <c r="Z90" s="7"/>
      <c r="AA90" s="7"/>
      <c r="AB90" s="8"/>
      <c r="AC90" s="6"/>
      <c r="AD90" s="6"/>
      <c r="AE90" s="6"/>
      <c r="AF90" s="7" t="s">
        <v>583</v>
      </c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8"/>
      <c r="AR90" s="9" t="n">
        <f aca="false">IFERROR(VLOOKUP($X90,Lotes!$A:$E,5,FALSE())*$U90,"")</f>
        <v>0</v>
      </c>
      <c r="AS90" s="9" t="n">
        <f aca="false">IF($L90="","",$L90*2.6)</f>
        <v>364780</v>
      </c>
      <c r="AT90" s="9"/>
      <c r="AU90" s="9" t="n">
        <v>830116</v>
      </c>
      <c r="AV90" s="9" t="n">
        <v>830116</v>
      </c>
      <c r="AW90" s="9" t="n">
        <v>830116</v>
      </c>
      <c r="AX90" s="7" t="s">
        <v>159</v>
      </c>
      <c r="AY90" s="7" t="s">
        <v>160</v>
      </c>
      <c r="AZ90" s="7"/>
      <c r="BA90" s="7" t="s">
        <v>675</v>
      </c>
      <c r="BB90" s="7" t="s">
        <v>676</v>
      </c>
      <c r="BC90" s="11" t="s">
        <v>677</v>
      </c>
      <c r="BD90" s="7" t="s">
        <v>164</v>
      </c>
      <c r="BE90" s="11" t="s">
        <v>678</v>
      </c>
    </row>
    <row r="91" customFormat="false" ht="15" hidden="false" customHeight="false" outlineLevel="0" collapsed="false">
      <c r="A91" s="6" t="n">
        <v>90</v>
      </c>
      <c r="B91" s="7" t="s">
        <v>648</v>
      </c>
      <c r="C91" s="7" t="s">
        <v>679</v>
      </c>
      <c r="D91" s="8" t="n">
        <v>0.23</v>
      </c>
      <c r="E91" s="7" t="s">
        <v>386</v>
      </c>
      <c r="F91" s="7" t="s">
        <v>680</v>
      </c>
      <c r="G91" s="6" t="n">
        <v>1</v>
      </c>
      <c r="H91" s="7" t="s">
        <v>681</v>
      </c>
      <c r="I91" s="7"/>
      <c r="J91" s="7"/>
      <c r="K91" s="7" t="s">
        <v>88</v>
      </c>
      <c r="L91" s="9" t="n">
        <v>207207</v>
      </c>
      <c r="M91" s="9"/>
      <c r="N91" s="9"/>
      <c r="O91" s="7" t="s">
        <v>41</v>
      </c>
      <c r="P91" s="7" t="s">
        <v>218</v>
      </c>
      <c r="Q91" s="7" t="s">
        <v>90</v>
      </c>
      <c r="R91" s="7" t="s">
        <v>682</v>
      </c>
      <c r="S91" s="7" t="s">
        <v>651</v>
      </c>
      <c r="T91" s="7" t="s">
        <v>93</v>
      </c>
      <c r="U91" s="10"/>
      <c r="V91" s="7"/>
      <c r="W91" s="7"/>
      <c r="X91" s="7"/>
      <c r="Y91" s="7"/>
      <c r="Z91" s="7"/>
      <c r="AA91" s="7"/>
      <c r="AB91" s="8"/>
      <c r="AC91" s="6"/>
      <c r="AD91" s="6"/>
      <c r="AE91" s="6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8"/>
      <c r="AR91" s="9" t="str">
        <f aca="false">IFERROR(VLOOKUP($X91,Lotes!$A:$E,5,FALSE())*$U91,"")</f>
        <v/>
      </c>
      <c r="AS91" s="9" t="n">
        <f aca="false">IF($L91="","",$L91*2.6)</f>
        <v>538738.2</v>
      </c>
      <c r="AT91" s="9"/>
      <c r="AU91" s="9" t="n">
        <v>850000</v>
      </c>
      <c r="AV91" s="9" t="n">
        <v>824500</v>
      </c>
      <c r="AW91" s="9" t="n">
        <v>0</v>
      </c>
      <c r="AX91" s="7" t="s">
        <v>218</v>
      </c>
      <c r="AY91" s="7" t="s">
        <v>94</v>
      </c>
      <c r="AZ91" s="7"/>
      <c r="BA91" s="7" t="s">
        <v>683</v>
      </c>
      <c r="BB91" s="7" t="s">
        <v>684</v>
      </c>
      <c r="BC91" s="11" t="s">
        <v>685</v>
      </c>
      <c r="BD91" s="7" t="s">
        <v>98</v>
      </c>
      <c r="BE91" s="11"/>
    </row>
    <row r="92" customFormat="false" ht="23.85" hidden="false" customHeight="false" outlineLevel="0" collapsed="false">
      <c r="A92" s="6" t="n">
        <v>91</v>
      </c>
      <c r="B92" s="7" t="s">
        <v>648</v>
      </c>
      <c r="C92" s="7" t="s">
        <v>686</v>
      </c>
      <c r="D92" s="8" t="n">
        <v>0.95</v>
      </c>
      <c r="E92" s="7" t="s">
        <v>85</v>
      </c>
      <c r="F92" s="7" t="s">
        <v>123</v>
      </c>
      <c r="G92" s="6" t="n">
        <v>1</v>
      </c>
      <c r="H92" s="7" t="s">
        <v>200</v>
      </c>
      <c r="I92" s="7" t="s">
        <v>271</v>
      </c>
      <c r="J92" s="7" t="s">
        <v>687</v>
      </c>
      <c r="K92" s="7" t="s">
        <v>88</v>
      </c>
      <c r="L92" s="9" t="n">
        <v>120000</v>
      </c>
      <c r="M92" s="9"/>
      <c r="N92" s="9"/>
      <c r="O92" s="7" t="s">
        <v>41</v>
      </c>
      <c r="P92" s="7" t="s">
        <v>89</v>
      </c>
      <c r="Q92" s="7" t="s">
        <v>90</v>
      </c>
      <c r="R92" s="7" t="s">
        <v>688</v>
      </c>
      <c r="S92" s="7" t="s">
        <v>651</v>
      </c>
      <c r="T92" s="7" t="s">
        <v>111</v>
      </c>
      <c r="U92" s="10"/>
      <c r="V92" s="7"/>
      <c r="W92" s="7"/>
      <c r="X92" s="7" t="s">
        <v>689</v>
      </c>
      <c r="Y92" s="7"/>
      <c r="Z92" s="7"/>
      <c r="AA92" s="7"/>
      <c r="AB92" s="8"/>
      <c r="AC92" s="6"/>
      <c r="AD92" s="6"/>
      <c r="AE92" s="6"/>
      <c r="AF92" s="7" t="s">
        <v>158</v>
      </c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8"/>
      <c r="AR92" s="9" t="n">
        <f aca="false">IFERROR(VLOOKUP($X92,Lotes!$A:$E,5,FALSE())*$U92,"")</f>
        <v>0</v>
      </c>
      <c r="AS92" s="9" t="n">
        <f aca="false">IF($L92="","",$L92*2.6)</f>
        <v>312000</v>
      </c>
      <c r="AT92" s="9"/>
      <c r="AU92" s="9" t="n">
        <v>288000</v>
      </c>
      <c r="AV92" s="9" t="n">
        <v>288000</v>
      </c>
      <c r="AW92" s="9" t="n">
        <v>288000</v>
      </c>
      <c r="AX92" s="7" t="s">
        <v>89</v>
      </c>
      <c r="AY92" s="7" t="s">
        <v>112</v>
      </c>
      <c r="AZ92" s="7"/>
      <c r="BA92" s="7" t="s">
        <v>690</v>
      </c>
      <c r="BB92" s="7" t="s">
        <v>691</v>
      </c>
      <c r="BC92" s="11" t="s">
        <v>692</v>
      </c>
      <c r="BD92" s="7" t="s">
        <v>164</v>
      </c>
      <c r="BE92" s="11" t="s">
        <v>693</v>
      </c>
    </row>
    <row r="93" customFormat="false" ht="15" hidden="false" customHeight="false" outlineLevel="0" collapsed="false">
      <c r="A93" s="6" t="n">
        <v>92</v>
      </c>
      <c r="B93" s="7" t="s">
        <v>648</v>
      </c>
      <c r="C93" s="7" t="s">
        <v>694</v>
      </c>
      <c r="D93" s="8" t="n">
        <v>1.31</v>
      </c>
      <c r="E93" s="7" t="s">
        <v>172</v>
      </c>
      <c r="F93" s="7" t="s">
        <v>86</v>
      </c>
      <c r="G93" s="6" t="n">
        <v>1</v>
      </c>
      <c r="H93" s="7" t="s">
        <v>404</v>
      </c>
      <c r="I93" s="7" t="s">
        <v>271</v>
      </c>
      <c r="J93" s="7" t="s">
        <v>695</v>
      </c>
      <c r="K93" s="7" t="s">
        <v>88</v>
      </c>
      <c r="L93" s="9" t="n">
        <v>676746</v>
      </c>
      <c r="M93" s="9"/>
      <c r="N93" s="9"/>
      <c r="O93" s="7" t="s">
        <v>41</v>
      </c>
      <c r="P93" s="7" t="s">
        <v>372</v>
      </c>
      <c r="Q93" s="7" t="s">
        <v>90</v>
      </c>
      <c r="R93" s="7" t="s">
        <v>696</v>
      </c>
      <c r="S93" s="7" t="s">
        <v>651</v>
      </c>
      <c r="T93" s="7" t="s">
        <v>697</v>
      </c>
      <c r="U93" s="10"/>
      <c r="V93" s="7"/>
      <c r="W93" s="7"/>
      <c r="X93" s="7"/>
      <c r="Y93" s="7"/>
      <c r="Z93" s="7"/>
      <c r="AA93" s="7"/>
      <c r="AB93" s="8"/>
      <c r="AC93" s="6"/>
      <c r="AD93" s="6"/>
      <c r="AE93" s="6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8"/>
      <c r="AR93" s="9" t="str">
        <f aca="false">IFERROR(VLOOKUP($X93,Lotes!$A:$E,5,FALSE())*$U93,"")</f>
        <v/>
      </c>
      <c r="AS93" s="9" t="n">
        <f aca="false">IF($L93="","",$L93*2.6)</f>
        <v>1759539.6</v>
      </c>
      <c r="AT93" s="9"/>
      <c r="AU93" s="9" t="n">
        <v>1355000</v>
      </c>
      <c r="AV93" s="9" t="n">
        <v>1355000</v>
      </c>
      <c r="AW93" s="9" t="n">
        <v>1355000</v>
      </c>
      <c r="AX93" s="7" t="s">
        <v>372</v>
      </c>
      <c r="AY93" s="7" t="s">
        <v>112</v>
      </c>
      <c r="AZ93" s="7"/>
      <c r="BA93" s="7" t="s">
        <v>698</v>
      </c>
      <c r="BB93" s="7" t="s">
        <v>699</v>
      </c>
      <c r="BC93" s="11" t="s">
        <v>700</v>
      </c>
      <c r="BD93" s="7" t="s">
        <v>98</v>
      </c>
      <c r="BE93" s="11"/>
    </row>
    <row r="94" customFormat="false" ht="23.85" hidden="false" customHeight="false" outlineLevel="0" collapsed="false">
      <c r="A94" s="6" t="n">
        <v>93</v>
      </c>
      <c r="B94" s="7" t="s">
        <v>648</v>
      </c>
      <c r="C94" s="7" t="s">
        <v>701</v>
      </c>
      <c r="D94" s="8" t="n">
        <v>1.74</v>
      </c>
      <c r="E94" s="7" t="s">
        <v>172</v>
      </c>
      <c r="F94" s="7" t="s">
        <v>86</v>
      </c>
      <c r="G94" s="6" t="n">
        <v>1</v>
      </c>
      <c r="H94" s="7" t="s">
        <v>178</v>
      </c>
      <c r="I94" s="7" t="s">
        <v>271</v>
      </c>
      <c r="J94" s="7" t="s">
        <v>702</v>
      </c>
      <c r="K94" s="7" t="s">
        <v>88</v>
      </c>
      <c r="L94" s="9" t="n">
        <v>897000</v>
      </c>
      <c r="M94" s="9"/>
      <c r="N94" s="9"/>
      <c r="O94" s="7" t="s">
        <v>154</v>
      </c>
      <c r="P94" s="7"/>
      <c r="Q94" s="7" t="s">
        <v>155</v>
      </c>
      <c r="R94" s="7" t="s">
        <v>703</v>
      </c>
      <c r="S94" s="7" t="s">
        <v>651</v>
      </c>
      <c r="T94" s="7"/>
      <c r="U94" s="10"/>
      <c r="V94" s="7"/>
      <c r="W94" s="7"/>
      <c r="X94" s="7" t="s">
        <v>704</v>
      </c>
      <c r="Y94" s="7"/>
      <c r="Z94" s="7"/>
      <c r="AA94" s="7"/>
      <c r="AB94" s="8"/>
      <c r="AC94" s="6"/>
      <c r="AD94" s="6"/>
      <c r="AE94" s="6"/>
      <c r="AF94" s="7" t="s">
        <v>583</v>
      </c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8"/>
      <c r="AR94" s="9" t="n">
        <f aca="false">IFERROR(VLOOKUP($X94,Lotes!$A:$E,5,FALSE())*$U94,"")</f>
        <v>0</v>
      </c>
      <c r="AS94" s="9" t="n">
        <f aca="false">IF($L94="","",$L94*2.6)</f>
        <v>2332200</v>
      </c>
      <c r="AT94" s="9"/>
      <c r="AU94" s="9" t="n">
        <v>1973717</v>
      </c>
      <c r="AV94" s="9" t="n">
        <v>1973717</v>
      </c>
      <c r="AW94" s="9" t="n">
        <v>1973717</v>
      </c>
      <c r="AX94" s="7" t="s">
        <v>159</v>
      </c>
      <c r="AY94" s="7" t="s">
        <v>160</v>
      </c>
      <c r="AZ94" s="7"/>
      <c r="BA94" s="7" t="s">
        <v>705</v>
      </c>
      <c r="BB94" s="7" t="s">
        <v>706</v>
      </c>
      <c r="BC94" s="11" t="s">
        <v>707</v>
      </c>
      <c r="BD94" s="7" t="s">
        <v>164</v>
      </c>
      <c r="BE94" s="11" t="s">
        <v>708</v>
      </c>
    </row>
    <row r="95" customFormat="false" ht="15" hidden="false" customHeight="false" outlineLevel="0" collapsed="false">
      <c r="A95" s="6" t="n">
        <v>94</v>
      </c>
      <c r="B95" s="7" t="s">
        <v>648</v>
      </c>
      <c r="C95" s="7" t="s">
        <v>709</v>
      </c>
      <c r="D95" s="8" t="n">
        <v>1.31</v>
      </c>
      <c r="E95" s="7" t="s">
        <v>85</v>
      </c>
      <c r="F95" s="7" t="s">
        <v>123</v>
      </c>
      <c r="G95" s="6" t="n">
        <v>1</v>
      </c>
      <c r="H95" s="7" t="s">
        <v>124</v>
      </c>
      <c r="I95" s="7" t="s">
        <v>271</v>
      </c>
      <c r="J95" s="7" t="s">
        <v>710</v>
      </c>
      <c r="K95" s="7" t="s">
        <v>88</v>
      </c>
      <c r="L95" s="9" t="n">
        <v>950000</v>
      </c>
      <c r="M95" s="9"/>
      <c r="N95" s="9"/>
      <c r="O95" s="7" t="s">
        <v>154</v>
      </c>
      <c r="P95" s="7" t="s">
        <v>89</v>
      </c>
      <c r="Q95" s="7" t="s">
        <v>711</v>
      </c>
      <c r="R95" s="7" t="s">
        <v>712</v>
      </c>
      <c r="S95" s="7" t="s">
        <v>356</v>
      </c>
      <c r="T95" s="7" t="s">
        <v>697</v>
      </c>
      <c r="U95" s="10"/>
      <c r="V95" s="7"/>
      <c r="W95" s="7"/>
      <c r="X95" s="7"/>
      <c r="Y95" s="7"/>
      <c r="Z95" s="7"/>
      <c r="AA95" s="7"/>
      <c r="AB95" s="8"/>
      <c r="AC95" s="6"/>
      <c r="AD95" s="6"/>
      <c r="AE95" s="6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8"/>
      <c r="AR95" s="9" t="str">
        <f aca="false">IFERROR(VLOOKUP($X95,Lotes!$A:$E,5,FALSE())*$U95,"")</f>
        <v/>
      </c>
      <c r="AS95" s="9" t="n">
        <f aca="false">IF($L95="","",$L95*2.6)</f>
        <v>2470000</v>
      </c>
      <c r="AT95" s="9"/>
      <c r="AU95" s="9" t="n">
        <v>1900000</v>
      </c>
      <c r="AV95" s="9" t="n">
        <v>1425000</v>
      </c>
      <c r="AW95" s="9" t="n">
        <v>1125000</v>
      </c>
      <c r="AX95" s="7" t="s">
        <v>89</v>
      </c>
      <c r="AY95" s="7" t="s">
        <v>713</v>
      </c>
      <c r="AZ95" s="7"/>
      <c r="BA95" s="7" t="s">
        <v>714</v>
      </c>
      <c r="BB95" s="7" t="s">
        <v>715</v>
      </c>
      <c r="BC95" s="11" t="s">
        <v>716</v>
      </c>
      <c r="BD95" s="7" t="s">
        <v>98</v>
      </c>
      <c r="BE95" s="11"/>
    </row>
    <row r="96" customFormat="false" ht="15" hidden="false" customHeight="false" outlineLevel="0" collapsed="false">
      <c r="A96" s="6" t="n">
        <v>95</v>
      </c>
      <c r="B96" s="7" t="s">
        <v>648</v>
      </c>
      <c r="C96" s="7" t="s">
        <v>717</v>
      </c>
      <c r="D96" s="8" t="n">
        <v>0.22</v>
      </c>
      <c r="E96" s="7" t="s">
        <v>172</v>
      </c>
      <c r="F96" s="7" t="s">
        <v>86</v>
      </c>
      <c r="G96" s="6" t="n">
        <v>1</v>
      </c>
      <c r="H96" s="7" t="s">
        <v>101</v>
      </c>
      <c r="I96" s="7" t="s">
        <v>303</v>
      </c>
      <c r="J96" s="7" t="s">
        <v>718</v>
      </c>
      <c r="K96" s="7" t="s">
        <v>88</v>
      </c>
      <c r="L96" s="9" t="n">
        <v>113652</v>
      </c>
      <c r="M96" s="9"/>
      <c r="N96" s="9"/>
      <c r="O96" s="7" t="s">
        <v>41</v>
      </c>
      <c r="P96" s="7" t="s">
        <v>102</v>
      </c>
      <c r="Q96" s="7" t="s">
        <v>90</v>
      </c>
      <c r="R96" s="7" t="s">
        <v>719</v>
      </c>
      <c r="S96" s="7" t="s">
        <v>651</v>
      </c>
      <c r="T96" s="7"/>
      <c r="U96" s="10"/>
      <c r="V96" s="7"/>
      <c r="W96" s="7"/>
      <c r="X96" s="7"/>
      <c r="Y96" s="7"/>
      <c r="Z96" s="7"/>
      <c r="AA96" s="7"/>
      <c r="AB96" s="8"/>
      <c r="AC96" s="6"/>
      <c r="AD96" s="6"/>
      <c r="AE96" s="6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8"/>
      <c r="AR96" s="9" t="str">
        <f aca="false">IFERROR(VLOOKUP($X96,Lotes!$A:$E,5,FALSE())*$U96,"")</f>
        <v/>
      </c>
      <c r="AS96" s="9" t="n">
        <f aca="false">IF($L96="","",$L96*2.6)</f>
        <v>295495.2</v>
      </c>
      <c r="AT96" s="9"/>
      <c r="AU96" s="9" t="n">
        <v>272765</v>
      </c>
      <c r="AV96" s="9" t="n">
        <v>272765</v>
      </c>
      <c r="AW96" s="9" t="n">
        <v>0</v>
      </c>
      <c r="AX96" s="7" t="s">
        <v>102</v>
      </c>
      <c r="AY96" s="7" t="s">
        <v>94</v>
      </c>
      <c r="AZ96" s="7"/>
      <c r="BA96" s="7" t="s">
        <v>720</v>
      </c>
      <c r="BB96" s="7" t="s">
        <v>721</v>
      </c>
      <c r="BC96" s="11" t="s">
        <v>722</v>
      </c>
      <c r="BD96" s="7" t="s">
        <v>98</v>
      </c>
      <c r="BE96" s="11"/>
    </row>
    <row r="97" customFormat="false" ht="15" hidden="false" customHeight="false" outlineLevel="0" collapsed="false">
      <c r="A97" s="6" t="n">
        <v>96</v>
      </c>
      <c r="B97" s="7" t="s">
        <v>648</v>
      </c>
      <c r="C97" s="7" t="s">
        <v>723</v>
      </c>
      <c r="D97" s="8" t="n">
        <v>0.33</v>
      </c>
      <c r="E97" s="7" t="s">
        <v>724</v>
      </c>
      <c r="F97" s="7" t="s">
        <v>270</v>
      </c>
      <c r="G97" s="6" t="n">
        <v>1</v>
      </c>
      <c r="H97" s="7" t="s">
        <v>124</v>
      </c>
      <c r="I97" s="7" t="s">
        <v>271</v>
      </c>
      <c r="J97" s="7" t="s">
        <v>725</v>
      </c>
      <c r="K97" s="7" t="s">
        <v>88</v>
      </c>
      <c r="L97" s="9" t="n">
        <v>297297</v>
      </c>
      <c r="M97" s="9"/>
      <c r="N97" s="9"/>
      <c r="O97" s="7" t="s">
        <v>41</v>
      </c>
      <c r="P97" s="7" t="s">
        <v>218</v>
      </c>
      <c r="Q97" s="7" t="s">
        <v>90</v>
      </c>
      <c r="R97" s="7" t="s">
        <v>726</v>
      </c>
      <c r="S97" s="7" t="s">
        <v>651</v>
      </c>
      <c r="T97" s="7" t="s">
        <v>93</v>
      </c>
      <c r="U97" s="10"/>
      <c r="V97" s="7"/>
      <c r="W97" s="7"/>
      <c r="X97" s="7"/>
      <c r="Y97" s="7"/>
      <c r="Z97" s="7"/>
      <c r="AA97" s="7"/>
      <c r="AB97" s="8"/>
      <c r="AC97" s="6"/>
      <c r="AD97" s="6"/>
      <c r="AE97" s="6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8"/>
      <c r="AR97" s="9" t="str">
        <f aca="false">IFERROR(VLOOKUP($X97,Lotes!$A:$E,5,FALSE())*$U97,"")</f>
        <v/>
      </c>
      <c r="AS97" s="9" t="n">
        <f aca="false">IF($L97="","",$L97*2.6)</f>
        <v>772972.2</v>
      </c>
      <c r="AT97" s="9"/>
      <c r="AU97" s="9" t="n">
        <v>773000</v>
      </c>
      <c r="AV97" s="9" t="n">
        <v>749810</v>
      </c>
      <c r="AW97" s="9" t="n">
        <v>0</v>
      </c>
      <c r="AX97" s="7" t="s">
        <v>218</v>
      </c>
      <c r="AY97" s="7" t="s">
        <v>94</v>
      </c>
      <c r="AZ97" s="7"/>
      <c r="BA97" s="7" t="s">
        <v>727</v>
      </c>
      <c r="BB97" s="7" t="s">
        <v>728</v>
      </c>
      <c r="BC97" s="11" t="s">
        <v>729</v>
      </c>
      <c r="BD97" s="7" t="s">
        <v>98</v>
      </c>
      <c r="BE97" s="11"/>
    </row>
    <row r="98" customFormat="false" ht="68.65" hidden="false" customHeight="false" outlineLevel="0" collapsed="false">
      <c r="A98" s="6" t="n">
        <v>97</v>
      </c>
      <c r="B98" s="7" t="s">
        <v>648</v>
      </c>
      <c r="C98" s="7" t="s">
        <v>730</v>
      </c>
      <c r="D98" s="8" t="n">
        <v>0.86</v>
      </c>
      <c r="E98" s="7" t="s">
        <v>172</v>
      </c>
      <c r="F98" s="7" t="s">
        <v>86</v>
      </c>
      <c r="G98" s="6" t="n">
        <v>2</v>
      </c>
      <c r="H98" s="7" t="s">
        <v>124</v>
      </c>
      <c r="I98" s="7" t="s">
        <v>271</v>
      </c>
      <c r="J98" s="7" t="s">
        <v>731</v>
      </c>
      <c r="K98" s="7" t="s">
        <v>88</v>
      </c>
      <c r="L98" s="9" t="n">
        <v>200000</v>
      </c>
      <c r="M98" s="9"/>
      <c r="N98" s="9"/>
      <c r="O98" s="7" t="s">
        <v>154</v>
      </c>
      <c r="P98" s="7" t="s">
        <v>89</v>
      </c>
      <c r="Q98" s="7" t="s">
        <v>155</v>
      </c>
      <c r="R98" s="7" t="s">
        <v>732</v>
      </c>
      <c r="S98" s="7" t="s">
        <v>651</v>
      </c>
      <c r="T98" s="7"/>
      <c r="U98" s="10"/>
      <c r="V98" s="7"/>
      <c r="W98" s="7"/>
      <c r="X98" s="7" t="s">
        <v>674</v>
      </c>
      <c r="Y98" s="7"/>
      <c r="Z98" s="7"/>
      <c r="AA98" s="7"/>
      <c r="AB98" s="8"/>
      <c r="AC98" s="6"/>
      <c r="AD98" s="6"/>
      <c r="AE98" s="6"/>
      <c r="AF98" s="7" t="s">
        <v>583</v>
      </c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8" t="n">
        <v>0.64</v>
      </c>
      <c r="AR98" s="9" t="n">
        <f aca="false">IFERROR(VLOOKUP($X98,Lotes!$A:$E,5,FALSE())*$U98,"")</f>
        <v>0</v>
      </c>
      <c r="AS98" s="9" t="n">
        <f aca="false">IF($L98="","",$L98*2.6)</f>
        <v>520000</v>
      </c>
      <c r="AT98" s="9"/>
      <c r="AU98" s="9" t="n">
        <v>1551956</v>
      </c>
      <c r="AV98" s="9" t="n">
        <v>1551956</v>
      </c>
      <c r="AW98" s="9" t="n">
        <v>1551956</v>
      </c>
      <c r="AX98" s="7" t="s">
        <v>159</v>
      </c>
      <c r="AY98" s="7" t="s">
        <v>160</v>
      </c>
      <c r="AZ98" s="7"/>
      <c r="BA98" s="7" t="s">
        <v>733</v>
      </c>
      <c r="BB98" s="7" t="s">
        <v>734</v>
      </c>
      <c r="BC98" s="11" t="s">
        <v>735</v>
      </c>
      <c r="BD98" s="7" t="s">
        <v>164</v>
      </c>
      <c r="BE98" s="11" t="s">
        <v>736</v>
      </c>
    </row>
    <row r="99" customFormat="false" ht="15" hidden="false" customHeight="false" outlineLevel="0" collapsed="false">
      <c r="A99" s="6" t="n">
        <v>98</v>
      </c>
      <c r="B99" s="7" t="s">
        <v>648</v>
      </c>
      <c r="C99" s="7" t="s">
        <v>737</v>
      </c>
      <c r="D99" s="8" t="n">
        <v>0.18</v>
      </c>
      <c r="E99" s="7" t="s">
        <v>386</v>
      </c>
      <c r="F99" s="7" t="s">
        <v>311</v>
      </c>
      <c r="G99" s="6" t="n">
        <v>1</v>
      </c>
      <c r="H99" s="7" t="s">
        <v>124</v>
      </c>
      <c r="I99" s="7" t="s">
        <v>271</v>
      </c>
      <c r="J99" s="7" t="s">
        <v>738</v>
      </c>
      <c r="K99" s="7" t="s">
        <v>88</v>
      </c>
      <c r="L99" s="9" t="n">
        <v>163000</v>
      </c>
      <c r="M99" s="9"/>
      <c r="N99" s="9"/>
      <c r="O99" s="7" t="s">
        <v>41</v>
      </c>
      <c r="P99" s="7" t="s">
        <v>372</v>
      </c>
      <c r="Q99" s="7"/>
      <c r="R99" s="7" t="s">
        <v>739</v>
      </c>
      <c r="S99" s="7" t="s">
        <v>651</v>
      </c>
      <c r="T99" s="7"/>
      <c r="U99" s="10"/>
      <c r="V99" s="7"/>
      <c r="W99" s="7"/>
      <c r="X99" s="7"/>
      <c r="Y99" s="7"/>
      <c r="Z99" s="7"/>
      <c r="AA99" s="7"/>
      <c r="AB99" s="8"/>
      <c r="AC99" s="6"/>
      <c r="AD99" s="6"/>
      <c r="AE99" s="6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8"/>
      <c r="AR99" s="9" t="str">
        <f aca="false">IFERROR(VLOOKUP($X99,Lotes!$A:$E,5,FALSE())*$U99,"")</f>
        <v/>
      </c>
      <c r="AS99" s="9" t="n">
        <f aca="false">IF($L99="","",$L99*2.6)</f>
        <v>423800</v>
      </c>
      <c r="AT99" s="9"/>
      <c r="AU99" s="9" t="n">
        <v>489000</v>
      </c>
      <c r="AV99" s="9" t="n">
        <v>489000</v>
      </c>
      <c r="AW99" s="9" t="n">
        <v>489000</v>
      </c>
      <c r="AX99" s="7" t="s">
        <v>372</v>
      </c>
      <c r="AY99" s="7" t="s">
        <v>575</v>
      </c>
      <c r="AZ99" s="7"/>
      <c r="BA99" s="7" t="s">
        <v>740</v>
      </c>
      <c r="BB99" s="7" t="s">
        <v>741</v>
      </c>
      <c r="BC99" s="11" t="s">
        <v>742</v>
      </c>
      <c r="BD99" s="7" t="s">
        <v>98</v>
      </c>
      <c r="BE99" s="11"/>
    </row>
    <row r="100" customFormat="false" ht="15" hidden="false" customHeight="false" outlineLevel="0" collapsed="false">
      <c r="A100" s="6" t="n">
        <v>99</v>
      </c>
      <c r="B100" s="7" t="s">
        <v>648</v>
      </c>
      <c r="C100" s="7" t="s">
        <v>743</v>
      </c>
      <c r="D100" s="8" t="n">
        <v>0.44</v>
      </c>
      <c r="E100" s="7" t="s">
        <v>386</v>
      </c>
      <c r="F100" s="7" t="s">
        <v>270</v>
      </c>
      <c r="G100" s="6" t="n">
        <v>1</v>
      </c>
      <c r="H100" s="7" t="s">
        <v>87</v>
      </c>
      <c r="I100" s="7" t="s">
        <v>271</v>
      </c>
      <c r="J100" s="7" t="s">
        <v>744</v>
      </c>
      <c r="K100" s="7" t="s">
        <v>88</v>
      </c>
      <c r="L100" s="9" t="n">
        <v>396000</v>
      </c>
      <c r="M100" s="9"/>
      <c r="N100" s="9"/>
      <c r="O100" s="7" t="s">
        <v>41</v>
      </c>
      <c r="P100" s="7" t="s">
        <v>657</v>
      </c>
      <c r="Q100" s="7" t="s">
        <v>90</v>
      </c>
      <c r="R100" s="7" t="s">
        <v>745</v>
      </c>
      <c r="S100" s="7" t="s">
        <v>651</v>
      </c>
      <c r="T100" s="7" t="s">
        <v>93</v>
      </c>
      <c r="U100" s="10"/>
      <c r="V100" s="7"/>
      <c r="W100" s="7"/>
      <c r="X100" s="7"/>
      <c r="Y100" s="7"/>
      <c r="Z100" s="7"/>
      <c r="AA100" s="7"/>
      <c r="AB100" s="8"/>
      <c r="AC100" s="6"/>
      <c r="AD100" s="6"/>
      <c r="AE100" s="6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8"/>
      <c r="AR100" s="9" t="str">
        <f aca="false">IFERROR(VLOOKUP($X100,Lotes!$A:$E,5,FALSE())*$U100,"")</f>
        <v/>
      </c>
      <c r="AS100" s="9" t="n">
        <f aca="false">IF($L100="","",$L100*2.6)</f>
        <v>1029600</v>
      </c>
      <c r="AT100" s="9"/>
      <c r="AU100" s="9" t="n">
        <v>990000</v>
      </c>
      <c r="AV100" s="9" t="n">
        <v>800811</v>
      </c>
      <c r="AW100" s="9" t="n">
        <v>37</v>
      </c>
      <c r="AX100" s="7" t="s">
        <v>657</v>
      </c>
      <c r="AY100" s="7" t="s">
        <v>94</v>
      </c>
      <c r="AZ100" s="7"/>
      <c r="BA100" s="7" t="s">
        <v>746</v>
      </c>
      <c r="BB100" s="7" t="s">
        <v>747</v>
      </c>
      <c r="BC100" s="11" t="s">
        <v>748</v>
      </c>
      <c r="BD100" s="7" t="s">
        <v>662</v>
      </c>
      <c r="BE100" s="11"/>
    </row>
    <row r="101" customFormat="false" ht="68.65" hidden="false" customHeight="false" outlineLevel="0" collapsed="false">
      <c r="A101" s="6" t="n">
        <v>100</v>
      </c>
      <c r="B101" s="7" t="s">
        <v>648</v>
      </c>
      <c r="C101" s="7" t="s">
        <v>749</v>
      </c>
      <c r="D101" s="8" t="n">
        <v>0.6</v>
      </c>
      <c r="E101" s="7" t="s">
        <v>245</v>
      </c>
      <c r="F101" s="7" t="s">
        <v>270</v>
      </c>
      <c r="G101" s="6" t="n">
        <v>1</v>
      </c>
      <c r="H101" s="7" t="s">
        <v>681</v>
      </c>
      <c r="I101" s="7" t="s">
        <v>271</v>
      </c>
      <c r="J101" s="7" t="s">
        <v>750</v>
      </c>
      <c r="K101" s="7" t="s">
        <v>88</v>
      </c>
      <c r="L101" s="9" t="n">
        <v>541000</v>
      </c>
      <c r="M101" s="9"/>
      <c r="N101" s="9"/>
      <c r="O101" s="7" t="s">
        <v>154</v>
      </c>
      <c r="P101" s="7" t="s">
        <v>89</v>
      </c>
      <c r="Q101" s="7" t="s">
        <v>155</v>
      </c>
      <c r="R101" s="7" t="s">
        <v>751</v>
      </c>
      <c r="S101" s="7" t="s">
        <v>651</v>
      </c>
      <c r="T101" s="7"/>
      <c r="U101" s="10"/>
      <c r="V101" s="7"/>
      <c r="W101" s="7"/>
      <c r="X101" s="7" t="s">
        <v>674</v>
      </c>
      <c r="Y101" s="7"/>
      <c r="Z101" s="7"/>
      <c r="AA101" s="7"/>
      <c r="AB101" s="8"/>
      <c r="AC101" s="6"/>
      <c r="AD101" s="6"/>
      <c r="AE101" s="6"/>
      <c r="AF101" s="7" t="s">
        <v>583</v>
      </c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8"/>
      <c r="AR101" s="9" t="n">
        <f aca="false">IFERROR(VLOOKUP($X101,Lotes!$A:$E,5,FALSE())*$U101,"")</f>
        <v>0</v>
      </c>
      <c r="AS101" s="9" t="n">
        <f aca="false">IF($L101="","",$L101*2.6)</f>
        <v>1406600</v>
      </c>
      <c r="AT101" s="9"/>
      <c r="AU101" s="9" t="n">
        <v>1623000</v>
      </c>
      <c r="AV101" s="9" t="n">
        <v>1623000</v>
      </c>
      <c r="AW101" s="9" t="n">
        <v>1623000</v>
      </c>
      <c r="AX101" s="7" t="s">
        <v>159</v>
      </c>
      <c r="AY101" s="7" t="s">
        <v>160</v>
      </c>
      <c r="AZ101" s="7"/>
      <c r="BA101" s="7" t="s">
        <v>752</v>
      </c>
      <c r="BB101" s="7" t="s">
        <v>753</v>
      </c>
      <c r="BC101" s="11" t="s">
        <v>754</v>
      </c>
      <c r="BD101" s="7" t="s">
        <v>164</v>
      </c>
      <c r="BE101" s="11" t="s">
        <v>755</v>
      </c>
    </row>
    <row r="102" customFormat="false" ht="15" hidden="false" customHeight="false" outlineLevel="0" collapsed="false">
      <c r="A102" s="6" t="n">
        <v>101</v>
      </c>
      <c r="B102" s="7" t="s">
        <v>648</v>
      </c>
      <c r="C102" s="7" t="s">
        <v>756</v>
      </c>
      <c r="D102" s="8" t="n">
        <v>1.01</v>
      </c>
      <c r="E102" s="7" t="s">
        <v>172</v>
      </c>
      <c r="F102" s="7" t="s">
        <v>270</v>
      </c>
      <c r="G102" s="6" t="n">
        <v>1</v>
      </c>
      <c r="H102" s="7" t="s">
        <v>200</v>
      </c>
      <c r="I102" s="7" t="s">
        <v>271</v>
      </c>
      <c r="J102" s="7" t="s">
        <v>757</v>
      </c>
      <c r="K102" s="7" t="s">
        <v>88</v>
      </c>
      <c r="L102" s="9" t="n">
        <v>520756</v>
      </c>
      <c r="M102" s="9"/>
      <c r="N102" s="9"/>
      <c r="O102" s="7" t="s">
        <v>41</v>
      </c>
      <c r="P102" s="7" t="s">
        <v>109</v>
      </c>
      <c r="Q102" s="7" t="s">
        <v>90</v>
      </c>
      <c r="R102" s="7" t="s">
        <v>758</v>
      </c>
      <c r="S102" s="7" t="s">
        <v>651</v>
      </c>
      <c r="T102" s="7"/>
      <c r="U102" s="10"/>
      <c r="V102" s="7"/>
      <c r="W102" s="7"/>
      <c r="X102" s="7"/>
      <c r="Y102" s="7"/>
      <c r="Z102" s="7"/>
      <c r="AA102" s="7"/>
      <c r="AB102" s="8"/>
      <c r="AC102" s="6"/>
      <c r="AD102" s="6"/>
      <c r="AE102" s="6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8"/>
      <c r="AR102" s="9" t="str">
        <f aca="false">IFERROR(VLOOKUP($X102,Lotes!$A:$E,5,FALSE())*$U102,"")</f>
        <v/>
      </c>
      <c r="AS102" s="9" t="n">
        <f aca="false">IF($L102="","",$L102*2.6)</f>
        <v>1353965.6</v>
      </c>
      <c r="AT102" s="9"/>
      <c r="AU102" s="9" t="n">
        <v>1718495</v>
      </c>
      <c r="AV102" s="9" t="n">
        <v>1718495</v>
      </c>
      <c r="AW102" s="9" t="n">
        <v>0</v>
      </c>
      <c r="AX102" s="7" t="s">
        <v>109</v>
      </c>
      <c r="AY102" s="7" t="s">
        <v>759</v>
      </c>
      <c r="AZ102" s="7"/>
      <c r="BA102" s="7" t="s">
        <v>760</v>
      </c>
      <c r="BB102" s="7" t="s">
        <v>761</v>
      </c>
      <c r="BC102" s="11" t="s">
        <v>762</v>
      </c>
      <c r="BD102" s="7" t="s">
        <v>98</v>
      </c>
      <c r="BE102" s="11" t="s">
        <v>763</v>
      </c>
    </row>
    <row r="103" customFormat="false" ht="23.85" hidden="false" customHeight="false" outlineLevel="0" collapsed="false">
      <c r="A103" s="6" t="n">
        <v>102</v>
      </c>
      <c r="B103" s="7" t="s">
        <v>648</v>
      </c>
      <c r="C103" s="7" t="s">
        <v>764</v>
      </c>
      <c r="D103" s="8" t="n">
        <v>0.16</v>
      </c>
      <c r="E103" s="7" t="s">
        <v>403</v>
      </c>
      <c r="F103" s="7" t="s">
        <v>765</v>
      </c>
      <c r="G103" s="6" t="n">
        <v>1</v>
      </c>
      <c r="H103" s="7" t="s">
        <v>200</v>
      </c>
      <c r="I103" s="7" t="s">
        <v>271</v>
      </c>
      <c r="J103" s="7" t="s">
        <v>766</v>
      </c>
      <c r="K103" s="7" t="s">
        <v>88</v>
      </c>
      <c r="L103" s="9" t="n">
        <v>443462</v>
      </c>
      <c r="M103" s="9"/>
      <c r="N103" s="9"/>
      <c r="O103" s="7" t="s">
        <v>41</v>
      </c>
      <c r="P103" s="7" t="s">
        <v>657</v>
      </c>
      <c r="Q103" s="7" t="s">
        <v>90</v>
      </c>
      <c r="R103" s="7" t="s">
        <v>767</v>
      </c>
      <c r="S103" s="7" t="s">
        <v>651</v>
      </c>
      <c r="T103" s="7" t="s">
        <v>93</v>
      </c>
      <c r="U103" s="10"/>
      <c r="V103" s="7"/>
      <c r="W103" s="7"/>
      <c r="X103" s="7"/>
      <c r="Y103" s="7"/>
      <c r="Z103" s="7"/>
      <c r="AA103" s="7"/>
      <c r="AB103" s="8"/>
      <c r="AC103" s="6"/>
      <c r="AD103" s="6"/>
      <c r="AE103" s="6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8"/>
      <c r="AR103" s="9" t="str">
        <f aca="false">IFERROR(VLOOKUP($X103,Lotes!$A:$E,5,FALSE())*$U103,"")</f>
        <v/>
      </c>
      <c r="AS103" s="9" t="n">
        <f aca="false">IF($L103="","",$L103*2.6)</f>
        <v>1153001.2</v>
      </c>
      <c r="AT103" s="9"/>
      <c r="AU103" s="9" t="n">
        <v>1153000</v>
      </c>
      <c r="AV103" s="9" t="n">
        <v>800643.2</v>
      </c>
      <c r="AW103" s="9" t="n">
        <v>0.199999999953434</v>
      </c>
      <c r="AX103" s="7" t="s">
        <v>657</v>
      </c>
      <c r="AY103" s="7" t="s">
        <v>94</v>
      </c>
      <c r="AZ103" s="7"/>
      <c r="BA103" s="7" t="s">
        <v>768</v>
      </c>
      <c r="BB103" s="7" t="s">
        <v>769</v>
      </c>
      <c r="BC103" s="11" t="s">
        <v>770</v>
      </c>
      <c r="BD103" s="7" t="s">
        <v>662</v>
      </c>
      <c r="BE103" s="11" t="s">
        <v>99</v>
      </c>
    </row>
    <row r="104" customFormat="false" ht="57.45" hidden="false" customHeight="false" outlineLevel="0" collapsed="false">
      <c r="A104" s="6" t="n">
        <v>103</v>
      </c>
      <c r="B104" s="7" t="s">
        <v>648</v>
      </c>
      <c r="C104" s="7" t="s">
        <v>771</v>
      </c>
      <c r="D104" s="8" t="n">
        <v>4.61</v>
      </c>
      <c r="E104" s="7" t="s">
        <v>172</v>
      </c>
      <c r="F104" s="7" t="s">
        <v>86</v>
      </c>
      <c r="G104" s="6" t="n">
        <v>4</v>
      </c>
      <c r="H104" s="7" t="s">
        <v>124</v>
      </c>
      <c r="I104" s="7"/>
      <c r="J104" s="7"/>
      <c r="K104" s="7" t="s">
        <v>371</v>
      </c>
      <c r="L104" s="9" t="n">
        <v>2376916</v>
      </c>
      <c r="M104" s="9"/>
      <c r="N104" s="9"/>
      <c r="O104" s="7" t="s">
        <v>108</v>
      </c>
      <c r="P104" s="7" t="s">
        <v>372</v>
      </c>
      <c r="Q104" s="7"/>
      <c r="R104" s="7" t="s">
        <v>772</v>
      </c>
      <c r="S104" s="7" t="s">
        <v>651</v>
      </c>
      <c r="T104" s="7"/>
      <c r="U104" s="10"/>
      <c r="V104" s="7"/>
      <c r="W104" s="7"/>
      <c r="X104" s="7"/>
      <c r="Y104" s="7"/>
      <c r="Z104" s="7"/>
      <c r="AA104" s="7"/>
      <c r="AB104" s="8"/>
      <c r="AC104" s="6"/>
      <c r="AD104" s="6"/>
      <c r="AE104" s="6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8"/>
      <c r="AR104" s="9" t="str">
        <f aca="false">IFERROR(VLOOKUP($X104,Lotes!$A:$E,5,FALSE())*$U104,"")</f>
        <v/>
      </c>
      <c r="AS104" s="9" t="n">
        <f aca="false">IF($L104="","",$L104*2.6)</f>
        <v>6179981.6</v>
      </c>
      <c r="AT104" s="9"/>
      <c r="AU104" s="9" t="n">
        <v>3684220</v>
      </c>
      <c r="AV104" s="9" t="n">
        <v>3684220</v>
      </c>
      <c r="AW104" s="9" t="n">
        <v>0</v>
      </c>
      <c r="AX104" s="7" t="s">
        <v>159</v>
      </c>
      <c r="AY104" s="7" t="s">
        <v>773</v>
      </c>
      <c r="AZ104" s="7"/>
      <c r="BA104" s="7" t="s">
        <v>774</v>
      </c>
      <c r="BB104" s="7" t="s">
        <v>775</v>
      </c>
      <c r="BC104" s="11" t="s">
        <v>776</v>
      </c>
      <c r="BD104" s="7" t="s">
        <v>98</v>
      </c>
      <c r="BE104" s="11" t="s">
        <v>777</v>
      </c>
    </row>
    <row r="105" customFormat="false" ht="57.45" hidden="false" customHeight="false" outlineLevel="0" collapsed="false">
      <c r="A105" s="6" t="n">
        <v>104</v>
      </c>
      <c r="B105" s="7" t="s">
        <v>648</v>
      </c>
      <c r="C105" s="7" t="s">
        <v>778</v>
      </c>
      <c r="D105" s="8" t="n">
        <v>2.62</v>
      </c>
      <c r="E105" s="7" t="s">
        <v>172</v>
      </c>
      <c r="F105" s="7" t="s">
        <v>270</v>
      </c>
      <c r="G105" s="6" t="n">
        <v>4</v>
      </c>
      <c r="H105" s="7" t="s">
        <v>87</v>
      </c>
      <c r="I105" s="7"/>
      <c r="J105" s="7"/>
      <c r="K105" s="7" t="s">
        <v>371</v>
      </c>
      <c r="L105" s="9" t="n">
        <v>1350872</v>
      </c>
      <c r="M105" s="9"/>
      <c r="N105" s="9"/>
      <c r="O105" s="7" t="s">
        <v>108</v>
      </c>
      <c r="P105" s="7" t="s">
        <v>109</v>
      </c>
      <c r="Q105" s="7"/>
      <c r="R105" s="7" t="s">
        <v>779</v>
      </c>
      <c r="S105" s="7" t="s">
        <v>651</v>
      </c>
      <c r="T105" s="7"/>
      <c r="U105" s="10"/>
      <c r="V105" s="7"/>
      <c r="W105" s="7"/>
      <c r="X105" s="7"/>
      <c r="Y105" s="7"/>
      <c r="Z105" s="7"/>
      <c r="AA105" s="7"/>
      <c r="AB105" s="8"/>
      <c r="AC105" s="6"/>
      <c r="AD105" s="6"/>
      <c r="AE105" s="6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8"/>
      <c r="AR105" s="9" t="str">
        <f aca="false">IFERROR(VLOOKUP($X105,Lotes!$A:$E,5,FALSE())*$U105,"")</f>
        <v/>
      </c>
      <c r="AS105" s="9" t="n">
        <f aca="false">IF($L105="","",$L105*2.6)</f>
        <v>3512267.2</v>
      </c>
      <c r="AT105" s="9"/>
      <c r="AU105" s="9" t="n">
        <v>4052000</v>
      </c>
      <c r="AV105" s="9" t="n">
        <v>4052000</v>
      </c>
      <c r="AW105" s="9" t="n">
        <v>0</v>
      </c>
      <c r="AX105" s="7" t="s">
        <v>159</v>
      </c>
      <c r="AY105" s="7" t="s">
        <v>773</v>
      </c>
      <c r="AZ105" s="7"/>
      <c r="BA105" s="7" t="s">
        <v>780</v>
      </c>
      <c r="BB105" s="7" t="s">
        <v>781</v>
      </c>
      <c r="BC105" s="11" t="s">
        <v>782</v>
      </c>
      <c r="BD105" s="7" t="s">
        <v>98</v>
      </c>
      <c r="BE105" s="11" t="s">
        <v>623</v>
      </c>
    </row>
    <row r="106" customFormat="false" ht="15" hidden="false" customHeight="false" outlineLevel="0" collapsed="false">
      <c r="A106" s="6" t="n">
        <v>105</v>
      </c>
      <c r="B106" s="7" t="s">
        <v>648</v>
      </c>
      <c r="C106" s="7" t="s">
        <v>783</v>
      </c>
      <c r="D106" s="8" t="n">
        <v>2</v>
      </c>
      <c r="E106" s="7" t="s">
        <v>386</v>
      </c>
      <c r="F106" s="7" t="s">
        <v>311</v>
      </c>
      <c r="G106" s="6" t="n">
        <v>5</v>
      </c>
      <c r="H106" s="7"/>
      <c r="I106" s="7"/>
      <c r="J106" s="7"/>
      <c r="K106" s="7" t="s">
        <v>371</v>
      </c>
      <c r="L106" s="9" t="n">
        <v>1801800</v>
      </c>
      <c r="M106" s="9"/>
      <c r="N106" s="9"/>
      <c r="O106" s="7" t="s">
        <v>41</v>
      </c>
      <c r="P106" s="7" t="s">
        <v>218</v>
      </c>
      <c r="Q106" s="7" t="s">
        <v>90</v>
      </c>
      <c r="R106" s="7" t="s">
        <v>784</v>
      </c>
      <c r="S106" s="7" t="s">
        <v>651</v>
      </c>
      <c r="T106" s="7" t="s">
        <v>93</v>
      </c>
      <c r="U106" s="10"/>
      <c r="V106" s="7"/>
      <c r="W106" s="7"/>
      <c r="X106" s="7"/>
      <c r="Y106" s="7"/>
      <c r="Z106" s="7"/>
      <c r="AA106" s="7"/>
      <c r="AB106" s="8"/>
      <c r="AC106" s="6"/>
      <c r="AD106" s="6"/>
      <c r="AE106" s="6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8"/>
      <c r="AR106" s="9" t="str">
        <f aca="false">IFERROR(VLOOKUP($X106,Lotes!$A:$E,5,FALSE())*$U106,"")</f>
        <v/>
      </c>
      <c r="AS106" s="9" t="n">
        <f aca="false">IF($L106="","",$L106*2.6)</f>
        <v>4684680</v>
      </c>
      <c r="AT106" s="9"/>
      <c r="AU106" s="9" t="n">
        <v>5405000</v>
      </c>
      <c r="AV106" s="9" t="n">
        <v>5188800</v>
      </c>
      <c r="AW106" s="9" t="n">
        <v>0</v>
      </c>
      <c r="AX106" s="7" t="s">
        <v>218</v>
      </c>
      <c r="AY106" s="7" t="s">
        <v>94</v>
      </c>
      <c r="AZ106" s="7"/>
      <c r="BA106" s="7" t="s">
        <v>785</v>
      </c>
      <c r="BB106" s="7" t="s">
        <v>786</v>
      </c>
      <c r="BC106" s="11" t="s">
        <v>787</v>
      </c>
      <c r="BD106" s="7" t="s">
        <v>98</v>
      </c>
      <c r="BE106" s="11"/>
    </row>
    <row r="107" customFormat="false" ht="46.25" hidden="false" customHeight="false" outlineLevel="0" collapsed="false">
      <c r="A107" s="6" t="n">
        <v>106</v>
      </c>
      <c r="B107" s="7" t="s">
        <v>648</v>
      </c>
      <c r="C107" s="7" t="s">
        <v>788</v>
      </c>
      <c r="D107" s="8" t="n">
        <v>4.44</v>
      </c>
      <c r="E107" s="7" t="s">
        <v>172</v>
      </c>
      <c r="F107" s="7" t="s">
        <v>86</v>
      </c>
      <c r="G107" s="6" t="n">
        <v>5</v>
      </c>
      <c r="H107" s="7" t="s">
        <v>789</v>
      </c>
      <c r="I107" s="7"/>
      <c r="J107" s="7"/>
      <c r="K107" s="7" t="s">
        <v>371</v>
      </c>
      <c r="L107" s="9" t="n">
        <v>2289264</v>
      </c>
      <c r="M107" s="9"/>
      <c r="N107" s="9"/>
      <c r="O107" s="7" t="s">
        <v>154</v>
      </c>
      <c r="P107" s="7" t="s">
        <v>89</v>
      </c>
      <c r="Q107" s="7"/>
      <c r="R107" s="7" t="s">
        <v>790</v>
      </c>
      <c r="S107" s="7" t="s">
        <v>651</v>
      </c>
      <c r="T107" s="7"/>
      <c r="U107" s="10"/>
      <c r="V107" s="7"/>
      <c r="W107" s="7"/>
      <c r="X107" s="7"/>
      <c r="Y107" s="7"/>
      <c r="Z107" s="7"/>
      <c r="AA107" s="7"/>
      <c r="AB107" s="8"/>
      <c r="AC107" s="6"/>
      <c r="AD107" s="6"/>
      <c r="AE107" s="6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8"/>
      <c r="AR107" s="9" t="str">
        <f aca="false">IFERROR(VLOOKUP($X107,Lotes!$A:$E,5,FALSE())*$U107,"")</f>
        <v/>
      </c>
      <c r="AS107" s="9" t="n">
        <f aca="false">IF($L107="","",$L107*2.6)</f>
        <v>5952086.4</v>
      </c>
      <c r="AT107" s="9"/>
      <c r="AU107" s="9" t="n">
        <v>6867000</v>
      </c>
      <c r="AV107" s="9" t="n">
        <v>6867000</v>
      </c>
      <c r="AW107" s="9" t="n">
        <v>0</v>
      </c>
      <c r="AX107" s="7" t="s">
        <v>159</v>
      </c>
      <c r="AY107" s="7" t="s">
        <v>773</v>
      </c>
      <c r="AZ107" s="7"/>
      <c r="BA107" s="7" t="s">
        <v>791</v>
      </c>
      <c r="BB107" s="7" t="s">
        <v>792</v>
      </c>
      <c r="BC107" s="11" t="s">
        <v>793</v>
      </c>
      <c r="BD107" s="7" t="s">
        <v>98</v>
      </c>
      <c r="BE107" s="11" t="s">
        <v>794</v>
      </c>
    </row>
    <row r="108" customFormat="false" ht="46.25" hidden="false" customHeight="false" outlineLevel="0" collapsed="false">
      <c r="A108" s="6" t="n">
        <v>107</v>
      </c>
      <c r="B108" s="7" t="s">
        <v>648</v>
      </c>
      <c r="C108" s="7" t="s">
        <v>795</v>
      </c>
      <c r="D108" s="8" t="n">
        <v>2.27</v>
      </c>
      <c r="E108" s="7" t="s">
        <v>172</v>
      </c>
      <c r="F108" s="7" t="s">
        <v>86</v>
      </c>
      <c r="G108" s="6" t="n">
        <v>3</v>
      </c>
      <c r="H108" s="7" t="s">
        <v>789</v>
      </c>
      <c r="I108" s="7"/>
      <c r="J108" s="7"/>
      <c r="K108" s="7" t="s">
        <v>371</v>
      </c>
      <c r="L108" s="9" t="n">
        <v>1170402</v>
      </c>
      <c r="M108" s="9"/>
      <c r="N108" s="9"/>
      <c r="O108" s="7" t="s">
        <v>41</v>
      </c>
      <c r="P108" s="7" t="s">
        <v>102</v>
      </c>
      <c r="Q108" s="7"/>
      <c r="R108" s="7" t="s">
        <v>796</v>
      </c>
      <c r="S108" s="7" t="s">
        <v>651</v>
      </c>
      <c r="T108" s="7"/>
      <c r="U108" s="10"/>
      <c r="V108" s="7"/>
      <c r="W108" s="7"/>
      <c r="X108" s="7"/>
      <c r="Y108" s="7"/>
      <c r="Z108" s="7"/>
      <c r="AA108" s="7"/>
      <c r="AB108" s="8"/>
      <c r="AC108" s="6"/>
      <c r="AD108" s="6"/>
      <c r="AE108" s="6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8"/>
      <c r="AR108" s="9" t="str">
        <f aca="false">IFERROR(VLOOKUP($X108,Lotes!$A:$E,5,FALSE())*$U108,"")</f>
        <v/>
      </c>
      <c r="AS108" s="9" t="n">
        <f aca="false">IF($L108="","",$L108*2.6)</f>
        <v>3043045.2</v>
      </c>
      <c r="AT108" s="9"/>
      <c r="AU108" s="9" t="n">
        <v>3511000</v>
      </c>
      <c r="AV108" s="9" t="n">
        <v>3511000</v>
      </c>
      <c r="AW108" s="9" t="n">
        <v>0</v>
      </c>
      <c r="AX108" s="7" t="s">
        <v>159</v>
      </c>
      <c r="AY108" s="7" t="s">
        <v>773</v>
      </c>
      <c r="AZ108" s="7"/>
      <c r="BA108" s="7" t="s">
        <v>797</v>
      </c>
      <c r="BB108" s="7" t="s">
        <v>798</v>
      </c>
      <c r="BC108" s="11" t="s">
        <v>799</v>
      </c>
      <c r="BD108" s="7" t="s">
        <v>98</v>
      </c>
      <c r="BE108" s="11" t="s">
        <v>800</v>
      </c>
    </row>
    <row r="109" customFormat="false" ht="46.25" hidden="false" customHeight="false" outlineLevel="0" collapsed="false">
      <c r="A109" s="6" t="n">
        <v>108</v>
      </c>
      <c r="B109" s="7" t="s">
        <v>648</v>
      </c>
      <c r="C109" s="7" t="s">
        <v>801</v>
      </c>
      <c r="D109" s="8" t="n">
        <v>0.8</v>
      </c>
      <c r="E109" s="7" t="s">
        <v>172</v>
      </c>
      <c r="F109" s="7" t="s">
        <v>86</v>
      </c>
      <c r="G109" s="6" t="n">
        <v>4</v>
      </c>
      <c r="H109" s="7" t="s">
        <v>101</v>
      </c>
      <c r="I109" s="7"/>
      <c r="J109" s="7"/>
      <c r="K109" s="7" t="s">
        <v>371</v>
      </c>
      <c r="L109" s="9" t="n">
        <v>412480</v>
      </c>
      <c r="M109" s="9"/>
      <c r="N109" s="9"/>
      <c r="O109" s="7" t="s">
        <v>41</v>
      </c>
      <c r="P109" s="7" t="s">
        <v>125</v>
      </c>
      <c r="Q109" s="7" t="s">
        <v>90</v>
      </c>
      <c r="R109" s="7" t="s">
        <v>802</v>
      </c>
      <c r="S109" s="7" t="s">
        <v>651</v>
      </c>
      <c r="T109" s="7" t="s">
        <v>93</v>
      </c>
      <c r="U109" s="10"/>
      <c r="V109" s="7"/>
      <c r="W109" s="7"/>
      <c r="X109" s="7"/>
      <c r="Y109" s="7"/>
      <c r="Z109" s="7"/>
      <c r="AA109" s="7"/>
      <c r="AB109" s="8"/>
      <c r="AC109" s="6"/>
      <c r="AD109" s="6"/>
      <c r="AE109" s="6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8"/>
      <c r="AR109" s="9" t="str">
        <f aca="false">IFERROR(VLOOKUP($X109,Lotes!$A:$E,5,FALSE())*$U109,"")</f>
        <v/>
      </c>
      <c r="AS109" s="9" t="n">
        <f aca="false">IF($L109="","",$L109*2.6)</f>
        <v>1072448</v>
      </c>
      <c r="AT109" s="9"/>
      <c r="AU109" s="9" t="n">
        <v>1237440</v>
      </c>
      <c r="AV109" s="9" t="n">
        <v>742464</v>
      </c>
      <c r="AW109" s="9" t="n">
        <v>-536</v>
      </c>
      <c r="AX109" s="7" t="s">
        <v>127</v>
      </c>
      <c r="AY109" s="7" t="s">
        <v>94</v>
      </c>
      <c r="AZ109" s="7"/>
      <c r="BA109" s="7" t="s">
        <v>803</v>
      </c>
      <c r="BB109" s="7" t="s">
        <v>804</v>
      </c>
      <c r="BC109" s="11" t="s">
        <v>805</v>
      </c>
      <c r="BD109" s="7" t="s">
        <v>98</v>
      </c>
      <c r="BE109" s="11" t="s">
        <v>205</v>
      </c>
    </row>
    <row r="110" customFormat="false" ht="46.25" hidden="false" customHeight="false" outlineLevel="0" collapsed="false">
      <c r="A110" s="6" t="n">
        <v>109</v>
      </c>
      <c r="B110" s="7" t="s">
        <v>648</v>
      </c>
      <c r="C110" s="7" t="s">
        <v>806</v>
      </c>
      <c r="D110" s="8" t="n">
        <v>2.34</v>
      </c>
      <c r="E110" s="7" t="s">
        <v>172</v>
      </c>
      <c r="F110" s="7" t="s">
        <v>86</v>
      </c>
      <c r="G110" s="6" t="n">
        <v>4</v>
      </c>
      <c r="H110" s="7" t="s">
        <v>789</v>
      </c>
      <c r="I110" s="7"/>
      <c r="J110" s="7"/>
      <c r="K110" s="7" t="s">
        <v>371</v>
      </c>
      <c r="L110" s="9" t="n">
        <v>1206504</v>
      </c>
      <c r="M110" s="9"/>
      <c r="N110" s="9"/>
      <c r="O110" s="7" t="s">
        <v>154</v>
      </c>
      <c r="P110" s="7" t="s">
        <v>89</v>
      </c>
      <c r="Q110" s="7"/>
      <c r="R110" s="7" t="s">
        <v>807</v>
      </c>
      <c r="S110" s="7" t="s">
        <v>651</v>
      </c>
      <c r="T110" s="7"/>
      <c r="U110" s="10"/>
      <c r="V110" s="7"/>
      <c r="W110" s="7"/>
      <c r="X110" s="7"/>
      <c r="Y110" s="7"/>
      <c r="Z110" s="7"/>
      <c r="AA110" s="7"/>
      <c r="AB110" s="8"/>
      <c r="AC110" s="6"/>
      <c r="AD110" s="6"/>
      <c r="AE110" s="6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8"/>
      <c r="AR110" s="9" t="str">
        <f aca="false">IFERROR(VLOOKUP($X110,Lotes!$A:$E,5,FALSE())*$U110,"")</f>
        <v/>
      </c>
      <c r="AS110" s="9" t="n">
        <f aca="false">IF($L110="","",$L110*2.6)</f>
        <v>3136910.4</v>
      </c>
      <c r="AT110" s="9"/>
      <c r="AU110" s="9" t="n">
        <v>3619000</v>
      </c>
      <c r="AV110" s="9" t="n">
        <v>3619000</v>
      </c>
      <c r="AW110" s="9" t="n">
        <v>0</v>
      </c>
      <c r="AX110" s="7" t="s">
        <v>159</v>
      </c>
      <c r="AY110" s="7" t="s">
        <v>773</v>
      </c>
      <c r="AZ110" s="7"/>
      <c r="BA110" s="7" t="s">
        <v>808</v>
      </c>
      <c r="BB110" s="7" t="s">
        <v>809</v>
      </c>
      <c r="BC110" s="11" t="s">
        <v>810</v>
      </c>
      <c r="BD110" s="7" t="s">
        <v>98</v>
      </c>
      <c r="BE110" s="11" t="s">
        <v>794</v>
      </c>
    </row>
    <row r="111" customFormat="false" ht="23.85" hidden="false" customHeight="false" outlineLevel="0" collapsed="false">
      <c r="A111" s="6" t="n">
        <v>110</v>
      </c>
      <c r="B111" s="7" t="s">
        <v>648</v>
      </c>
      <c r="C111" s="7" t="s">
        <v>811</v>
      </c>
      <c r="D111" s="8" t="n">
        <v>1.52</v>
      </c>
      <c r="E111" s="7" t="s">
        <v>172</v>
      </c>
      <c r="F111" s="7" t="s">
        <v>86</v>
      </c>
      <c r="G111" s="6" t="n">
        <v>5</v>
      </c>
      <c r="H111" s="7" t="s">
        <v>789</v>
      </c>
      <c r="I111" s="7"/>
      <c r="J111" s="7"/>
      <c r="K111" s="7" t="s">
        <v>371</v>
      </c>
      <c r="L111" s="9" t="n">
        <v>339231</v>
      </c>
      <c r="M111" s="9"/>
      <c r="N111" s="9"/>
      <c r="O111" s="7" t="s">
        <v>154</v>
      </c>
      <c r="P111" s="7" t="s">
        <v>344</v>
      </c>
      <c r="Q111" s="7" t="s">
        <v>90</v>
      </c>
      <c r="R111" s="7" t="s">
        <v>812</v>
      </c>
      <c r="S111" s="7" t="s">
        <v>651</v>
      </c>
      <c r="T111" s="7" t="s">
        <v>93</v>
      </c>
      <c r="U111" s="10"/>
      <c r="V111" s="7"/>
      <c r="W111" s="7"/>
      <c r="X111" s="7"/>
      <c r="Y111" s="7"/>
      <c r="Z111" s="7"/>
      <c r="AA111" s="7"/>
      <c r="AB111" s="8"/>
      <c r="AC111" s="6"/>
      <c r="AD111" s="6"/>
      <c r="AE111" s="6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8"/>
      <c r="AR111" s="9" t="str">
        <f aca="false">IFERROR(VLOOKUP($X111,Lotes!$A:$E,5,FALSE())*$U111,"")</f>
        <v/>
      </c>
      <c r="AS111" s="9" t="n">
        <f aca="false">IF($L111="","",$L111*2.6)</f>
        <v>882000.6</v>
      </c>
      <c r="AT111" s="9"/>
      <c r="AU111" s="9" t="n">
        <v>882000</v>
      </c>
      <c r="AV111" s="9" t="n">
        <v>882000</v>
      </c>
      <c r="AW111" s="9" t="n">
        <v>1000</v>
      </c>
      <c r="AX111" s="7" t="s">
        <v>344</v>
      </c>
      <c r="AY111" s="7" t="s">
        <v>94</v>
      </c>
      <c r="AZ111" s="7"/>
      <c r="BA111" s="7" t="s">
        <v>813</v>
      </c>
      <c r="BB111" s="7" t="s">
        <v>814</v>
      </c>
      <c r="BC111" s="11" t="s">
        <v>815</v>
      </c>
      <c r="BD111" s="7" t="s">
        <v>98</v>
      </c>
      <c r="BE111" s="11" t="s">
        <v>99</v>
      </c>
    </row>
    <row r="112" customFormat="false" ht="15" hidden="false" customHeight="false" outlineLevel="0" collapsed="false">
      <c r="A112" s="6" t="n">
        <v>111</v>
      </c>
      <c r="B112" s="7" t="s">
        <v>648</v>
      </c>
      <c r="C112" s="7" t="s">
        <v>816</v>
      </c>
      <c r="D112" s="8" t="n">
        <v>1.77</v>
      </c>
      <c r="E112" s="7" t="s">
        <v>172</v>
      </c>
      <c r="F112" s="7" t="s">
        <v>270</v>
      </c>
      <c r="G112" s="6" t="n">
        <v>4</v>
      </c>
      <c r="H112" s="7" t="s">
        <v>87</v>
      </c>
      <c r="I112" s="7"/>
      <c r="J112" s="7"/>
      <c r="K112" s="7" t="s">
        <v>371</v>
      </c>
      <c r="L112" s="9" t="n">
        <v>912612</v>
      </c>
      <c r="M112" s="9"/>
      <c r="N112" s="9"/>
      <c r="O112" s="7" t="s">
        <v>817</v>
      </c>
      <c r="P112" s="7" t="s">
        <v>818</v>
      </c>
      <c r="Q112" s="7" t="s">
        <v>155</v>
      </c>
      <c r="R112" s="7" t="s">
        <v>819</v>
      </c>
      <c r="S112" s="7" t="s">
        <v>651</v>
      </c>
      <c r="T112" s="7"/>
      <c r="U112" s="10"/>
      <c r="V112" s="7"/>
      <c r="W112" s="7"/>
      <c r="X112" s="7"/>
      <c r="Y112" s="7"/>
      <c r="Z112" s="7"/>
      <c r="AA112" s="7"/>
      <c r="AB112" s="8"/>
      <c r="AC112" s="6"/>
      <c r="AD112" s="6"/>
      <c r="AE112" s="6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8"/>
      <c r="AR112" s="9" t="str">
        <f aca="false">IFERROR(VLOOKUP($X112,Lotes!$A:$E,5,FALSE())*$U112,"")</f>
        <v/>
      </c>
      <c r="AS112" s="9" t="n">
        <f aca="false">IF($L112="","",$L112*2.6)</f>
        <v>2372791.2</v>
      </c>
      <c r="AT112" s="9"/>
      <c r="AU112" s="9" t="n">
        <v>2737836</v>
      </c>
      <c r="AV112" s="9" t="n">
        <v>2737836</v>
      </c>
      <c r="AW112" s="9" t="n">
        <v>2737836</v>
      </c>
      <c r="AX112" s="7" t="s">
        <v>818</v>
      </c>
      <c r="AY112" s="7" t="s">
        <v>820</v>
      </c>
      <c r="AZ112" s="7"/>
      <c r="BA112" s="7" t="s">
        <v>821</v>
      </c>
      <c r="BB112" s="7" t="s">
        <v>822</v>
      </c>
      <c r="BC112" s="11" t="s">
        <v>823</v>
      </c>
      <c r="BD112" s="7" t="s">
        <v>98</v>
      </c>
      <c r="BE112" s="11"/>
    </row>
    <row r="113" customFormat="false" ht="15" hidden="false" customHeight="false" outlineLevel="0" collapsed="false">
      <c r="A113" s="6" t="n">
        <v>112</v>
      </c>
      <c r="B113" s="7" t="s">
        <v>648</v>
      </c>
      <c r="C113" s="7" t="s">
        <v>824</v>
      </c>
      <c r="D113" s="8" t="n">
        <v>18</v>
      </c>
      <c r="E113" s="7" t="s">
        <v>386</v>
      </c>
      <c r="F113" s="7" t="s">
        <v>311</v>
      </c>
      <c r="G113" s="6" t="n">
        <v>1</v>
      </c>
      <c r="H113" s="7" t="s">
        <v>413</v>
      </c>
      <c r="I113" s="7"/>
      <c r="J113" s="7"/>
      <c r="K113" s="7" t="s">
        <v>505</v>
      </c>
      <c r="L113" s="9" t="n">
        <v>2500000</v>
      </c>
      <c r="M113" s="9"/>
      <c r="N113" s="9"/>
      <c r="O113" s="7" t="s">
        <v>41</v>
      </c>
      <c r="P113" s="7" t="s">
        <v>109</v>
      </c>
      <c r="Q113" s="7" t="s">
        <v>825</v>
      </c>
      <c r="R113" s="7" t="s">
        <v>826</v>
      </c>
      <c r="S113" s="7" t="s">
        <v>827</v>
      </c>
      <c r="T113" s="7"/>
      <c r="U113" s="10"/>
      <c r="V113" s="7"/>
      <c r="W113" s="7"/>
      <c r="X113" s="7"/>
      <c r="Y113" s="7"/>
      <c r="Z113" s="7"/>
      <c r="AA113" s="7"/>
      <c r="AB113" s="8"/>
      <c r="AC113" s="6"/>
      <c r="AD113" s="6"/>
      <c r="AE113" s="6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8"/>
      <c r="AR113" s="9" t="str">
        <f aca="false">IFERROR(VLOOKUP($X113,Lotes!$A:$E,5,FALSE())*$U113,"")</f>
        <v/>
      </c>
      <c r="AS113" s="9" t="n">
        <f aca="false">IF($L113="","",$L113*2.6)</f>
        <v>6500000</v>
      </c>
      <c r="AT113" s="9"/>
      <c r="AU113" s="9" t="n">
        <v>5160000</v>
      </c>
      <c r="AV113" s="9" t="n">
        <v>5160000</v>
      </c>
      <c r="AW113" s="9" t="n">
        <v>0</v>
      </c>
      <c r="AX113" s="7" t="s">
        <v>109</v>
      </c>
      <c r="AY113" s="7" t="s">
        <v>828</v>
      </c>
      <c r="AZ113" s="7"/>
      <c r="BA113" s="7" t="s">
        <v>829</v>
      </c>
      <c r="BB113" s="7" t="s">
        <v>830</v>
      </c>
      <c r="BC113" s="11" t="s">
        <v>831</v>
      </c>
      <c r="BD113" s="7" t="s">
        <v>98</v>
      </c>
      <c r="BE113" s="11"/>
    </row>
    <row r="114" customFormat="false" ht="46.25" hidden="false" customHeight="false" outlineLevel="0" collapsed="false">
      <c r="A114" s="6" t="n">
        <v>113</v>
      </c>
      <c r="B114" s="7" t="s">
        <v>832</v>
      </c>
      <c r="C114" s="7" t="s">
        <v>833</v>
      </c>
      <c r="D114" s="8" t="n">
        <v>18</v>
      </c>
      <c r="E114" s="7" t="s">
        <v>386</v>
      </c>
      <c r="F114" s="7" t="s">
        <v>311</v>
      </c>
      <c r="G114" s="6" t="n">
        <v>1</v>
      </c>
      <c r="H114" s="7" t="s">
        <v>362</v>
      </c>
      <c r="I114" s="7"/>
      <c r="J114" s="7"/>
      <c r="K114" s="7" t="s">
        <v>505</v>
      </c>
      <c r="L114" s="9" t="n">
        <v>2500000</v>
      </c>
      <c r="M114" s="9"/>
      <c r="N114" s="9"/>
      <c r="O114" s="7" t="s">
        <v>41</v>
      </c>
      <c r="P114" s="7" t="s">
        <v>102</v>
      </c>
      <c r="Q114" s="7" t="s">
        <v>90</v>
      </c>
      <c r="R114" s="7" t="s">
        <v>834</v>
      </c>
      <c r="S114" s="7" t="s">
        <v>421</v>
      </c>
      <c r="T114" s="7" t="s">
        <v>93</v>
      </c>
      <c r="U114" s="10"/>
      <c r="V114" s="7"/>
      <c r="W114" s="7"/>
      <c r="X114" s="7"/>
      <c r="Y114" s="7"/>
      <c r="Z114" s="7"/>
      <c r="AA114" s="7"/>
      <c r="AB114" s="8"/>
      <c r="AC114" s="6"/>
      <c r="AD114" s="6"/>
      <c r="AE114" s="6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8"/>
      <c r="AR114" s="9" t="str">
        <f aca="false">IFERROR(VLOOKUP($X114,Lotes!$A:$E,5,FALSE())*$U114,"")</f>
        <v/>
      </c>
      <c r="AS114" s="9" t="n">
        <f aca="false">IF($L114="","",$L114*2.6)</f>
        <v>6500000</v>
      </c>
      <c r="AT114" s="9"/>
      <c r="AU114" s="9" t="n">
        <v>5160000</v>
      </c>
      <c r="AV114" s="9" t="n">
        <v>3973200</v>
      </c>
      <c r="AW114" s="9" t="n">
        <v>0</v>
      </c>
      <c r="AX114" s="7" t="s">
        <v>428</v>
      </c>
      <c r="AY114" s="7" t="s">
        <v>94</v>
      </c>
      <c r="AZ114" s="7"/>
      <c r="BA114" s="7" t="s">
        <v>835</v>
      </c>
      <c r="BB114" s="7" t="s">
        <v>836</v>
      </c>
      <c r="BC114" s="11" t="s">
        <v>837</v>
      </c>
      <c r="BD114" s="7" t="s">
        <v>98</v>
      </c>
      <c r="BE114" s="11" t="s">
        <v>838</v>
      </c>
    </row>
    <row r="115" customFormat="false" ht="57.45" hidden="false" customHeight="false" outlineLevel="0" collapsed="false">
      <c r="A115" s="6" t="n">
        <v>114</v>
      </c>
      <c r="B115" s="7" t="s">
        <v>648</v>
      </c>
      <c r="C115" s="7" t="s">
        <v>839</v>
      </c>
      <c r="D115" s="8" t="n">
        <v>18</v>
      </c>
      <c r="E115" s="7" t="s">
        <v>386</v>
      </c>
      <c r="F115" s="7" t="s">
        <v>680</v>
      </c>
      <c r="G115" s="6" t="n">
        <v>1</v>
      </c>
      <c r="H115" s="7" t="s">
        <v>362</v>
      </c>
      <c r="I115" s="7"/>
      <c r="J115" s="7"/>
      <c r="K115" s="7" t="s">
        <v>505</v>
      </c>
      <c r="L115" s="9" t="n">
        <v>2600000</v>
      </c>
      <c r="M115" s="9"/>
      <c r="N115" s="9"/>
      <c r="O115" s="7" t="s">
        <v>108</v>
      </c>
      <c r="P115" s="7" t="s">
        <v>109</v>
      </c>
      <c r="Q115" s="7" t="s">
        <v>90</v>
      </c>
      <c r="R115" s="7" t="s">
        <v>840</v>
      </c>
      <c r="S115" s="7" t="s">
        <v>827</v>
      </c>
      <c r="T115" s="7" t="s">
        <v>93</v>
      </c>
      <c r="U115" s="10"/>
      <c r="V115" s="7"/>
      <c r="W115" s="7"/>
      <c r="X115" s="7"/>
      <c r="Y115" s="7"/>
      <c r="Z115" s="7"/>
      <c r="AA115" s="7"/>
      <c r="AB115" s="8"/>
      <c r="AC115" s="6"/>
      <c r="AD115" s="6"/>
      <c r="AE115" s="6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8"/>
      <c r="AR115" s="9" t="str">
        <f aca="false">IFERROR(VLOOKUP($X115,Lotes!$A:$E,5,FALSE())*$U115,"")</f>
        <v/>
      </c>
      <c r="AS115" s="9" t="n">
        <f aca="false">IF($L115="","",$L115*2.6)</f>
        <v>6760000</v>
      </c>
      <c r="AT115" s="9"/>
      <c r="AU115" s="9" t="n">
        <v>5460000</v>
      </c>
      <c r="AV115" s="9" t="n">
        <v>4368000</v>
      </c>
      <c r="AW115" s="9" t="n">
        <v>0</v>
      </c>
      <c r="AX115" s="7" t="s">
        <v>89</v>
      </c>
      <c r="AY115" s="7" t="s">
        <v>94</v>
      </c>
      <c r="AZ115" s="7"/>
      <c r="BA115" s="7" t="s">
        <v>841</v>
      </c>
      <c r="BB115" s="7" t="s">
        <v>842</v>
      </c>
      <c r="BC115" s="11" t="s">
        <v>843</v>
      </c>
      <c r="BD115" s="7" t="s">
        <v>98</v>
      </c>
      <c r="BE115" s="11" t="s">
        <v>844</v>
      </c>
    </row>
    <row r="116" customFormat="false" ht="46.25" hidden="false" customHeight="false" outlineLevel="0" collapsed="false">
      <c r="A116" s="6" t="n">
        <v>115</v>
      </c>
      <c r="B116" s="7" t="s">
        <v>648</v>
      </c>
      <c r="C116" s="7" t="s">
        <v>845</v>
      </c>
      <c r="D116" s="8" t="n">
        <v>0.65</v>
      </c>
      <c r="E116" s="7" t="s">
        <v>386</v>
      </c>
      <c r="F116" s="7" t="s">
        <v>680</v>
      </c>
      <c r="G116" s="6" t="n">
        <v>1</v>
      </c>
      <c r="H116" s="7" t="s">
        <v>413</v>
      </c>
      <c r="I116" s="7"/>
      <c r="J116" s="7"/>
      <c r="K116" s="7" t="s">
        <v>505</v>
      </c>
      <c r="L116" s="9" t="n">
        <v>2800000</v>
      </c>
      <c r="M116" s="9"/>
      <c r="N116" s="9"/>
      <c r="O116" s="7" t="s">
        <v>154</v>
      </c>
      <c r="P116" s="7" t="s">
        <v>89</v>
      </c>
      <c r="Q116" s="7" t="s">
        <v>155</v>
      </c>
      <c r="R116" s="7" t="s">
        <v>846</v>
      </c>
      <c r="S116" s="7" t="s">
        <v>827</v>
      </c>
      <c r="T116" s="7"/>
      <c r="U116" s="10"/>
      <c r="V116" s="7"/>
      <c r="W116" s="7"/>
      <c r="X116" s="7" t="s">
        <v>847</v>
      </c>
      <c r="Y116" s="7"/>
      <c r="Z116" s="7"/>
      <c r="AA116" s="7"/>
      <c r="AB116" s="8"/>
      <c r="AC116" s="6"/>
      <c r="AD116" s="6"/>
      <c r="AE116" s="6"/>
      <c r="AF116" s="7" t="s">
        <v>583</v>
      </c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8" t="n">
        <v>2</v>
      </c>
      <c r="AR116" s="9" t="n">
        <f aca="false">IFERROR(VLOOKUP($X116,Lotes!$A:$E,5,FALSE())*$U116,"")</f>
        <v>0</v>
      </c>
      <c r="AS116" s="9" t="n">
        <f aca="false">IF($L116="","",$L116*2.6)</f>
        <v>7280000</v>
      </c>
      <c r="AT116" s="9"/>
      <c r="AU116" s="9" t="n">
        <v>5460000</v>
      </c>
      <c r="AV116" s="9" t="n">
        <v>5460000</v>
      </c>
      <c r="AW116" s="9" t="n">
        <v>5460000</v>
      </c>
      <c r="AX116" s="7" t="s">
        <v>159</v>
      </c>
      <c r="AY116" s="7" t="s">
        <v>160</v>
      </c>
      <c r="AZ116" s="7"/>
      <c r="BA116" s="7" t="s">
        <v>848</v>
      </c>
      <c r="BB116" s="7" t="s">
        <v>849</v>
      </c>
      <c r="BC116" s="11" t="s">
        <v>850</v>
      </c>
      <c r="BD116" s="7" t="s">
        <v>164</v>
      </c>
      <c r="BE116" s="11" t="s">
        <v>794</v>
      </c>
    </row>
    <row r="117" customFormat="false" ht="57.45" hidden="false" customHeight="false" outlineLevel="0" collapsed="false">
      <c r="A117" s="6" t="n">
        <v>116</v>
      </c>
      <c r="B117" s="7" t="s">
        <v>832</v>
      </c>
      <c r="C117" s="7" t="s">
        <v>851</v>
      </c>
      <c r="D117" s="8" t="n">
        <v>18</v>
      </c>
      <c r="E117" s="7" t="s">
        <v>386</v>
      </c>
      <c r="F117" s="7" t="s">
        <v>311</v>
      </c>
      <c r="G117" s="6" t="n">
        <v>1</v>
      </c>
      <c r="H117" s="7" t="s">
        <v>362</v>
      </c>
      <c r="I117" s="7"/>
      <c r="J117" s="7"/>
      <c r="K117" s="7" t="s">
        <v>505</v>
      </c>
      <c r="L117" s="9" t="n">
        <v>2650000</v>
      </c>
      <c r="M117" s="9"/>
      <c r="N117" s="9"/>
      <c r="O117" s="7" t="s">
        <v>508</v>
      </c>
      <c r="P117" s="7" t="s">
        <v>428</v>
      </c>
      <c r="Q117" s="7" t="s">
        <v>90</v>
      </c>
      <c r="R117" s="7" t="s">
        <v>852</v>
      </c>
      <c r="S117" s="7" t="s">
        <v>827</v>
      </c>
      <c r="T117" s="7"/>
      <c r="U117" s="10"/>
      <c r="V117" s="7"/>
      <c r="W117" s="7"/>
      <c r="X117" s="7"/>
      <c r="Y117" s="7"/>
      <c r="Z117" s="7"/>
      <c r="AA117" s="7"/>
      <c r="AB117" s="8"/>
      <c r="AC117" s="6"/>
      <c r="AD117" s="6"/>
      <c r="AE117" s="6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8"/>
      <c r="AR117" s="9" t="str">
        <f aca="false">IFERROR(VLOOKUP($X117,Lotes!$A:$E,5,FALSE())*$U117,"")</f>
        <v/>
      </c>
      <c r="AS117" s="9" t="n">
        <f aca="false">IF($L117="","",$L117*2.6)</f>
        <v>6890000</v>
      </c>
      <c r="AT117" s="9"/>
      <c r="AU117" s="9" t="n">
        <v>5202800</v>
      </c>
      <c r="AV117" s="9" t="n">
        <v>5202800</v>
      </c>
      <c r="AW117" s="9" t="n">
        <v>0</v>
      </c>
      <c r="AX117" s="7" t="s">
        <v>109</v>
      </c>
      <c r="AY117" s="7" t="s">
        <v>853</v>
      </c>
      <c r="AZ117" s="7"/>
      <c r="BA117" s="7" t="s">
        <v>854</v>
      </c>
      <c r="BB117" s="7" t="s">
        <v>855</v>
      </c>
      <c r="BC117" s="11" t="s">
        <v>856</v>
      </c>
      <c r="BD117" s="7" t="s">
        <v>98</v>
      </c>
      <c r="BE117" s="11" t="s">
        <v>857</v>
      </c>
    </row>
    <row r="118" customFormat="false" ht="15" hidden="false" customHeight="false" outlineLevel="0" collapsed="false">
      <c r="A118" s="6" t="n">
        <v>117</v>
      </c>
      <c r="B118" s="7" t="s">
        <v>832</v>
      </c>
      <c r="C118" s="7" t="s">
        <v>858</v>
      </c>
      <c r="D118" s="8" t="n">
        <v>18</v>
      </c>
      <c r="E118" s="7" t="s">
        <v>386</v>
      </c>
      <c r="F118" s="7" t="s">
        <v>680</v>
      </c>
      <c r="G118" s="6" t="n">
        <v>1</v>
      </c>
      <c r="H118" s="7" t="s">
        <v>413</v>
      </c>
      <c r="I118" s="7"/>
      <c r="J118" s="7"/>
      <c r="K118" s="7" t="s">
        <v>505</v>
      </c>
      <c r="L118" s="9" t="n">
        <v>2750000</v>
      </c>
      <c r="M118" s="9"/>
      <c r="N118" s="9"/>
      <c r="O118" s="7" t="s">
        <v>41</v>
      </c>
      <c r="P118" s="7" t="s">
        <v>109</v>
      </c>
      <c r="Q118" s="7" t="s">
        <v>825</v>
      </c>
      <c r="R118" s="7" t="s">
        <v>859</v>
      </c>
      <c r="S118" s="7" t="s">
        <v>827</v>
      </c>
      <c r="T118" s="7"/>
      <c r="U118" s="10"/>
      <c r="V118" s="7"/>
      <c r="W118" s="7"/>
      <c r="X118" s="7"/>
      <c r="Y118" s="7"/>
      <c r="Z118" s="7"/>
      <c r="AA118" s="7"/>
      <c r="AB118" s="8"/>
      <c r="AC118" s="6"/>
      <c r="AD118" s="6"/>
      <c r="AE118" s="6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8"/>
      <c r="AR118" s="9" t="str">
        <f aca="false">IFERROR(VLOOKUP($X118,Lotes!$A:$E,5,FALSE())*$U118,"")</f>
        <v/>
      </c>
      <c r="AS118" s="9" t="n">
        <f aca="false">IF($L118="","",$L118*2.6)</f>
        <v>7150000</v>
      </c>
      <c r="AT118" s="9"/>
      <c r="AU118" s="9" t="n">
        <v>6780000</v>
      </c>
      <c r="AV118" s="9" t="n">
        <v>6780000</v>
      </c>
      <c r="AW118" s="9" t="n">
        <v>0</v>
      </c>
      <c r="AX118" s="7" t="s">
        <v>109</v>
      </c>
      <c r="AY118" s="7" t="s">
        <v>828</v>
      </c>
      <c r="AZ118" s="7"/>
      <c r="BA118" s="7" t="s">
        <v>860</v>
      </c>
      <c r="BB118" s="7" t="s">
        <v>861</v>
      </c>
      <c r="BC118" s="11" t="s">
        <v>862</v>
      </c>
      <c r="BD118" s="7" t="s">
        <v>98</v>
      </c>
      <c r="BE118" s="11"/>
    </row>
    <row r="119" customFormat="false" ht="79.85" hidden="false" customHeight="false" outlineLevel="0" collapsed="false">
      <c r="A119" s="6" t="n">
        <v>118</v>
      </c>
      <c r="B119" s="7" t="s">
        <v>832</v>
      </c>
      <c r="C119" s="7" t="s">
        <v>863</v>
      </c>
      <c r="D119" s="8"/>
      <c r="E119" s="7" t="s">
        <v>245</v>
      </c>
      <c r="F119" s="7" t="s">
        <v>351</v>
      </c>
      <c r="G119" s="6" t="n">
        <v>1</v>
      </c>
      <c r="H119" s="7" t="s">
        <v>413</v>
      </c>
      <c r="I119" s="7"/>
      <c r="J119" s="7"/>
      <c r="K119" s="7" t="s">
        <v>353</v>
      </c>
      <c r="L119" s="9" t="n">
        <v>161538</v>
      </c>
      <c r="M119" s="9"/>
      <c r="N119" s="9"/>
      <c r="O119" s="7" t="s">
        <v>817</v>
      </c>
      <c r="P119" s="7" t="s">
        <v>109</v>
      </c>
      <c r="Q119" s="7" t="s">
        <v>506</v>
      </c>
      <c r="R119" s="7" t="s">
        <v>864</v>
      </c>
      <c r="S119" s="7" t="s">
        <v>356</v>
      </c>
      <c r="T119" s="7"/>
      <c r="U119" s="10"/>
      <c r="V119" s="7"/>
      <c r="W119" s="7"/>
      <c r="X119" s="7"/>
      <c r="Y119" s="7"/>
      <c r="Z119" s="7"/>
      <c r="AA119" s="7"/>
      <c r="AB119" s="8"/>
      <c r="AC119" s="6"/>
      <c r="AD119" s="6"/>
      <c r="AE119" s="6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8"/>
      <c r="AR119" s="9" t="str">
        <f aca="false">IFERROR(VLOOKUP($X119,Lotes!$A:$E,5,FALSE())*$U119,"")</f>
        <v/>
      </c>
      <c r="AS119" s="9" t="n">
        <f aca="false">IF($L119="","",$L119*2.6)</f>
        <v>419998.8</v>
      </c>
      <c r="AT119" s="9"/>
      <c r="AU119" s="9" t="n">
        <v>420000</v>
      </c>
      <c r="AV119" s="9" t="n">
        <v>420000</v>
      </c>
      <c r="AW119" s="9" t="n">
        <v>0</v>
      </c>
      <c r="AX119" s="7" t="s">
        <v>428</v>
      </c>
      <c r="AY119" s="7" t="s">
        <v>506</v>
      </c>
      <c r="AZ119" s="7"/>
      <c r="BA119" s="7" t="s">
        <v>865</v>
      </c>
      <c r="BB119" s="7" t="s">
        <v>866</v>
      </c>
      <c r="BC119" s="11" t="s">
        <v>867</v>
      </c>
      <c r="BD119" s="7" t="s">
        <v>98</v>
      </c>
      <c r="BE119" s="11" t="s">
        <v>868</v>
      </c>
    </row>
    <row r="120" customFormat="false" ht="79.85" hidden="false" customHeight="false" outlineLevel="0" collapsed="false">
      <c r="A120" s="6" t="n">
        <v>119</v>
      </c>
      <c r="B120" s="7" t="s">
        <v>832</v>
      </c>
      <c r="C120" s="7" t="s">
        <v>869</v>
      </c>
      <c r="D120" s="8"/>
      <c r="E120" s="7" t="s">
        <v>245</v>
      </c>
      <c r="F120" s="7" t="s">
        <v>351</v>
      </c>
      <c r="G120" s="6" t="n">
        <v>1</v>
      </c>
      <c r="H120" s="7" t="s">
        <v>426</v>
      </c>
      <c r="I120" s="7"/>
      <c r="J120" s="7"/>
      <c r="K120" s="7" t="s">
        <v>353</v>
      </c>
      <c r="L120" s="9" t="n">
        <v>146154</v>
      </c>
      <c r="M120" s="9"/>
      <c r="N120" s="9"/>
      <c r="O120" s="7" t="s">
        <v>817</v>
      </c>
      <c r="P120" s="7" t="s">
        <v>109</v>
      </c>
      <c r="Q120" s="7" t="s">
        <v>506</v>
      </c>
      <c r="R120" s="7" t="s">
        <v>870</v>
      </c>
      <c r="S120" s="7" t="s">
        <v>356</v>
      </c>
      <c r="T120" s="7"/>
      <c r="U120" s="10"/>
      <c r="V120" s="7"/>
      <c r="W120" s="7"/>
      <c r="X120" s="7"/>
      <c r="Y120" s="7"/>
      <c r="Z120" s="7"/>
      <c r="AA120" s="7"/>
      <c r="AB120" s="8"/>
      <c r="AC120" s="6"/>
      <c r="AD120" s="6"/>
      <c r="AE120" s="6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8"/>
      <c r="AR120" s="9" t="str">
        <f aca="false">IFERROR(VLOOKUP($X120,Lotes!$A:$E,5,FALSE())*$U120,"")</f>
        <v/>
      </c>
      <c r="AS120" s="9" t="n">
        <f aca="false">IF($L120="","",$L120*2.6)</f>
        <v>380000.4</v>
      </c>
      <c r="AT120" s="9"/>
      <c r="AU120" s="9" t="n">
        <v>380000</v>
      </c>
      <c r="AV120" s="9" t="n">
        <v>380000</v>
      </c>
      <c r="AW120" s="9" t="n">
        <v>0</v>
      </c>
      <c r="AX120" s="7" t="s">
        <v>428</v>
      </c>
      <c r="AY120" s="7" t="s">
        <v>506</v>
      </c>
      <c r="AZ120" s="7"/>
      <c r="BA120" s="7" t="s">
        <v>871</v>
      </c>
      <c r="BB120" s="7" t="s">
        <v>872</v>
      </c>
      <c r="BC120" s="11" t="s">
        <v>873</v>
      </c>
      <c r="BD120" s="7" t="s">
        <v>98</v>
      </c>
      <c r="BE120" s="11" t="s">
        <v>868</v>
      </c>
    </row>
    <row r="121" customFormat="false" ht="79.85" hidden="false" customHeight="false" outlineLevel="0" collapsed="false">
      <c r="A121" s="6" t="n">
        <v>120</v>
      </c>
      <c r="B121" s="7" t="s">
        <v>832</v>
      </c>
      <c r="C121" s="7" t="s">
        <v>874</v>
      </c>
      <c r="D121" s="8"/>
      <c r="E121" s="7" t="s">
        <v>245</v>
      </c>
      <c r="F121" s="7" t="s">
        <v>351</v>
      </c>
      <c r="G121" s="6" t="n">
        <v>1</v>
      </c>
      <c r="H121" s="7" t="s">
        <v>352</v>
      </c>
      <c r="I121" s="7"/>
      <c r="J121" s="7"/>
      <c r="K121" s="7" t="s">
        <v>353</v>
      </c>
      <c r="L121" s="9" t="n">
        <v>103846</v>
      </c>
      <c r="M121" s="9"/>
      <c r="N121" s="9"/>
      <c r="O121" s="7" t="s">
        <v>817</v>
      </c>
      <c r="P121" s="7" t="s">
        <v>109</v>
      </c>
      <c r="Q121" s="7" t="s">
        <v>506</v>
      </c>
      <c r="R121" s="7" t="s">
        <v>875</v>
      </c>
      <c r="S121" s="7" t="s">
        <v>356</v>
      </c>
      <c r="T121" s="7"/>
      <c r="U121" s="10"/>
      <c r="V121" s="7"/>
      <c r="W121" s="7"/>
      <c r="X121" s="7"/>
      <c r="Y121" s="7"/>
      <c r="Z121" s="7"/>
      <c r="AA121" s="7"/>
      <c r="AB121" s="8"/>
      <c r="AC121" s="6"/>
      <c r="AD121" s="6"/>
      <c r="AE121" s="6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8"/>
      <c r="AR121" s="9" t="str">
        <f aca="false">IFERROR(VLOOKUP($X121,Lotes!$A:$E,5,FALSE())*$U121,"")</f>
        <v/>
      </c>
      <c r="AS121" s="9" t="n">
        <f aca="false">IF($L121="","",$L121*2.6)</f>
        <v>269999.6</v>
      </c>
      <c r="AT121" s="9"/>
      <c r="AU121" s="9" t="n">
        <v>270000</v>
      </c>
      <c r="AV121" s="9" t="n">
        <v>270000</v>
      </c>
      <c r="AW121" s="9" t="n">
        <v>0</v>
      </c>
      <c r="AX121" s="7" t="s">
        <v>428</v>
      </c>
      <c r="AY121" s="7" t="s">
        <v>506</v>
      </c>
      <c r="AZ121" s="7"/>
      <c r="BA121" s="7" t="s">
        <v>876</v>
      </c>
      <c r="BB121" s="7" t="s">
        <v>877</v>
      </c>
      <c r="BC121" s="11" t="s">
        <v>878</v>
      </c>
      <c r="BD121" s="7" t="s">
        <v>98</v>
      </c>
      <c r="BE121" s="11" t="s">
        <v>868</v>
      </c>
    </row>
    <row r="122" customFormat="false" ht="79.85" hidden="false" customHeight="false" outlineLevel="0" collapsed="false">
      <c r="A122" s="6" t="n">
        <v>121</v>
      </c>
      <c r="B122" s="7" t="s">
        <v>832</v>
      </c>
      <c r="C122" s="7" t="s">
        <v>879</v>
      </c>
      <c r="D122" s="8"/>
      <c r="E122" s="7" t="s">
        <v>245</v>
      </c>
      <c r="F122" s="7" t="s">
        <v>351</v>
      </c>
      <c r="G122" s="6" t="n">
        <v>1</v>
      </c>
      <c r="H122" s="7" t="s">
        <v>472</v>
      </c>
      <c r="I122" s="7"/>
      <c r="J122" s="7"/>
      <c r="K122" s="7" t="s">
        <v>353</v>
      </c>
      <c r="L122" s="9" t="n">
        <v>146154</v>
      </c>
      <c r="M122" s="9"/>
      <c r="N122" s="9"/>
      <c r="O122" s="7" t="s">
        <v>817</v>
      </c>
      <c r="P122" s="7" t="s">
        <v>109</v>
      </c>
      <c r="Q122" s="7" t="s">
        <v>506</v>
      </c>
      <c r="R122" s="7" t="s">
        <v>880</v>
      </c>
      <c r="S122" s="7" t="s">
        <v>356</v>
      </c>
      <c r="T122" s="7"/>
      <c r="U122" s="10"/>
      <c r="V122" s="7"/>
      <c r="W122" s="7"/>
      <c r="X122" s="7"/>
      <c r="Y122" s="7"/>
      <c r="Z122" s="7"/>
      <c r="AA122" s="7"/>
      <c r="AB122" s="8"/>
      <c r="AC122" s="6"/>
      <c r="AD122" s="6"/>
      <c r="AE122" s="6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8"/>
      <c r="AR122" s="9" t="str">
        <f aca="false">IFERROR(VLOOKUP($X122,Lotes!$A:$E,5,FALSE())*$U122,"")</f>
        <v/>
      </c>
      <c r="AS122" s="9" t="n">
        <f aca="false">IF($L122="","",$L122*2.6)</f>
        <v>380000.4</v>
      </c>
      <c r="AT122" s="9"/>
      <c r="AU122" s="9" t="n">
        <v>380000</v>
      </c>
      <c r="AV122" s="9" t="n">
        <v>380000</v>
      </c>
      <c r="AW122" s="9" t="n">
        <v>0</v>
      </c>
      <c r="AX122" s="7" t="s">
        <v>428</v>
      </c>
      <c r="AY122" s="7" t="s">
        <v>506</v>
      </c>
      <c r="AZ122" s="7"/>
      <c r="BA122" s="7" t="s">
        <v>881</v>
      </c>
      <c r="BB122" s="7" t="s">
        <v>882</v>
      </c>
      <c r="BC122" s="11" t="s">
        <v>883</v>
      </c>
      <c r="BD122" s="7" t="s">
        <v>98</v>
      </c>
      <c r="BE122" s="11" t="s">
        <v>868</v>
      </c>
    </row>
    <row r="123" customFormat="false" ht="79.85" hidden="false" customHeight="false" outlineLevel="0" collapsed="false">
      <c r="A123" s="6" t="n">
        <v>122</v>
      </c>
      <c r="B123" s="7" t="s">
        <v>832</v>
      </c>
      <c r="C123" s="7" t="s">
        <v>884</v>
      </c>
      <c r="D123" s="8"/>
      <c r="E123" s="7" t="s">
        <v>245</v>
      </c>
      <c r="F123" s="7" t="s">
        <v>351</v>
      </c>
      <c r="G123" s="6" t="n">
        <v>1</v>
      </c>
      <c r="H123" s="7"/>
      <c r="I123" s="7"/>
      <c r="J123" s="7"/>
      <c r="K123" s="7" t="s">
        <v>353</v>
      </c>
      <c r="L123" s="9" t="n">
        <v>157692</v>
      </c>
      <c r="M123" s="9"/>
      <c r="N123" s="9"/>
      <c r="O123" s="7" t="s">
        <v>817</v>
      </c>
      <c r="P123" s="7" t="s">
        <v>109</v>
      </c>
      <c r="Q123" s="7" t="s">
        <v>506</v>
      </c>
      <c r="R123" s="7" t="s">
        <v>885</v>
      </c>
      <c r="S123" s="7" t="s">
        <v>356</v>
      </c>
      <c r="T123" s="7"/>
      <c r="U123" s="10"/>
      <c r="V123" s="7"/>
      <c r="W123" s="7"/>
      <c r="X123" s="7"/>
      <c r="Y123" s="7"/>
      <c r="Z123" s="7"/>
      <c r="AA123" s="7"/>
      <c r="AB123" s="8"/>
      <c r="AC123" s="6"/>
      <c r="AD123" s="6"/>
      <c r="AE123" s="6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8"/>
      <c r="AR123" s="9" t="str">
        <f aca="false">IFERROR(VLOOKUP($X123,Lotes!$A:$E,5,FALSE())*$U123,"")</f>
        <v/>
      </c>
      <c r="AS123" s="9" t="n">
        <f aca="false">IF($L123="","",$L123*2.6)</f>
        <v>409999.2</v>
      </c>
      <c r="AT123" s="9"/>
      <c r="AU123" s="9" t="n">
        <v>410000</v>
      </c>
      <c r="AV123" s="9" t="n">
        <v>410000</v>
      </c>
      <c r="AW123" s="9" t="n">
        <v>0</v>
      </c>
      <c r="AX123" s="7" t="s">
        <v>428</v>
      </c>
      <c r="AY123" s="7" t="s">
        <v>506</v>
      </c>
      <c r="AZ123" s="7"/>
      <c r="BA123" s="7" t="s">
        <v>886</v>
      </c>
      <c r="BB123" s="7" t="s">
        <v>887</v>
      </c>
      <c r="BC123" s="11" t="s">
        <v>888</v>
      </c>
      <c r="BD123" s="7" t="s">
        <v>98</v>
      </c>
      <c r="BE123" s="11" t="s">
        <v>868</v>
      </c>
    </row>
    <row r="124" customFormat="false" ht="79.85" hidden="false" customHeight="false" outlineLevel="0" collapsed="false">
      <c r="A124" s="6" t="n">
        <v>123</v>
      </c>
      <c r="B124" s="7" t="s">
        <v>832</v>
      </c>
      <c r="C124" s="7" t="s">
        <v>889</v>
      </c>
      <c r="D124" s="8"/>
      <c r="E124" s="7" t="s">
        <v>245</v>
      </c>
      <c r="F124" s="7" t="s">
        <v>351</v>
      </c>
      <c r="G124" s="6" t="n">
        <v>1</v>
      </c>
      <c r="H124" s="7"/>
      <c r="I124" s="7"/>
      <c r="J124" s="7"/>
      <c r="K124" s="7" t="s">
        <v>353</v>
      </c>
      <c r="L124" s="9" t="n">
        <v>153846</v>
      </c>
      <c r="M124" s="9"/>
      <c r="N124" s="9"/>
      <c r="O124" s="7" t="s">
        <v>817</v>
      </c>
      <c r="P124" s="7" t="s">
        <v>109</v>
      </c>
      <c r="Q124" s="7" t="s">
        <v>506</v>
      </c>
      <c r="R124" s="7" t="s">
        <v>890</v>
      </c>
      <c r="S124" s="7" t="s">
        <v>356</v>
      </c>
      <c r="T124" s="7"/>
      <c r="U124" s="10"/>
      <c r="V124" s="7"/>
      <c r="W124" s="7"/>
      <c r="X124" s="7"/>
      <c r="Y124" s="7"/>
      <c r="Z124" s="7"/>
      <c r="AA124" s="7"/>
      <c r="AB124" s="8"/>
      <c r="AC124" s="6"/>
      <c r="AD124" s="6"/>
      <c r="AE124" s="6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8"/>
      <c r="AR124" s="9" t="str">
        <f aca="false">IFERROR(VLOOKUP($X124,Lotes!$A:$E,5,FALSE())*$U124,"")</f>
        <v/>
      </c>
      <c r="AS124" s="9" t="n">
        <f aca="false">IF($L124="","",$L124*2.6)</f>
        <v>399999.6</v>
      </c>
      <c r="AT124" s="9"/>
      <c r="AU124" s="9" t="n">
        <v>400000</v>
      </c>
      <c r="AV124" s="9" t="n">
        <v>400000</v>
      </c>
      <c r="AW124" s="9" t="n">
        <v>0</v>
      </c>
      <c r="AX124" s="7" t="s">
        <v>428</v>
      </c>
      <c r="AY124" s="7" t="s">
        <v>506</v>
      </c>
      <c r="AZ124" s="7"/>
      <c r="BA124" s="7" t="s">
        <v>891</v>
      </c>
      <c r="BB124" s="7" t="s">
        <v>892</v>
      </c>
      <c r="BC124" s="11" t="s">
        <v>893</v>
      </c>
      <c r="BD124" s="7" t="s">
        <v>98</v>
      </c>
      <c r="BE124" s="11" t="s">
        <v>868</v>
      </c>
    </row>
    <row r="125" customFormat="false" ht="68.65" hidden="false" customHeight="false" outlineLevel="0" collapsed="false">
      <c r="A125" s="6" t="n">
        <v>124</v>
      </c>
      <c r="B125" s="7" t="s">
        <v>832</v>
      </c>
      <c r="C125" s="7" t="s">
        <v>894</v>
      </c>
      <c r="D125" s="8"/>
      <c r="E125" s="7" t="s">
        <v>245</v>
      </c>
      <c r="F125" s="7" t="s">
        <v>351</v>
      </c>
      <c r="G125" s="6" t="n">
        <v>1</v>
      </c>
      <c r="H125" s="7" t="s">
        <v>362</v>
      </c>
      <c r="I125" s="7"/>
      <c r="J125" s="7"/>
      <c r="K125" s="7" t="s">
        <v>353</v>
      </c>
      <c r="L125" s="9" t="n">
        <v>100000</v>
      </c>
      <c r="M125" s="9"/>
      <c r="N125" s="9"/>
      <c r="O125" s="7" t="s">
        <v>41</v>
      </c>
      <c r="P125" s="7" t="s">
        <v>261</v>
      </c>
      <c r="Q125" s="7" t="s">
        <v>90</v>
      </c>
      <c r="R125" s="7" t="s">
        <v>895</v>
      </c>
      <c r="S125" s="7" t="s">
        <v>356</v>
      </c>
      <c r="T125" s="7" t="s">
        <v>93</v>
      </c>
      <c r="U125" s="10"/>
      <c r="V125" s="7"/>
      <c r="W125" s="7"/>
      <c r="X125" s="7"/>
      <c r="Y125" s="7"/>
      <c r="Z125" s="7"/>
      <c r="AA125" s="7"/>
      <c r="AB125" s="8"/>
      <c r="AC125" s="6"/>
      <c r="AD125" s="6"/>
      <c r="AE125" s="6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8"/>
      <c r="AR125" s="9" t="str">
        <f aca="false">IFERROR(VLOOKUP($X125,Lotes!$A:$E,5,FALSE())*$U125,"")</f>
        <v/>
      </c>
      <c r="AS125" s="9" t="n">
        <f aca="false">IF($L125="","",$L125*2.6)</f>
        <v>260000</v>
      </c>
      <c r="AT125" s="9"/>
      <c r="AU125" s="9" t="n">
        <v>260000</v>
      </c>
      <c r="AV125" s="9" t="n">
        <v>208000</v>
      </c>
      <c r="AW125" s="9" t="n">
        <v>-4000</v>
      </c>
      <c r="AX125" s="7" t="s">
        <v>263</v>
      </c>
      <c r="AY125" s="7" t="s">
        <v>94</v>
      </c>
      <c r="AZ125" s="7"/>
      <c r="BA125" s="7" t="s">
        <v>896</v>
      </c>
      <c r="BB125" s="7" t="s">
        <v>897</v>
      </c>
      <c r="BC125" s="11" t="s">
        <v>898</v>
      </c>
      <c r="BD125" s="7" t="s">
        <v>98</v>
      </c>
      <c r="BE125" s="11" t="s">
        <v>267</v>
      </c>
    </row>
    <row r="126" customFormat="false" ht="23.85" hidden="false" customHeight="false" outlineLevel="0" collapsed="false">
      <c r="A126" s="6" t="n">
        <v>125</v>
      </c>
      <c r="B126" s="7" t="s">
        <v>648</v>
      </c>
      <c r="C126" s="7" t="s">
        <v>899</v>
      </c>
      <c r="D126" s="8" t="n">
        <v>18</v>
      </c>
      <c r="E126" s="7" t="s">
        <v>386</v>
      </c>
      <c r="F126" s="7" t="s">
        <v>311</v>
      </c>
      <c r="G126" s="6" t="n">
        <v>18</v>
      </c>
      <c r="H126" s="7" t="s">
        <v>101</v>
      </c>
      <c r="I126" s="7"/>
      <c r="J126" s="7"/>
      <c r="K126" s="7" t="s">
        <v>88</v>
      </c>
      <c r="L126" s="9" t="n">
        <v>750000</v>
      </c>
      <c r="M126" s="9"/>
      <c r="N126" s="9"/>
      <c r="O126" s="7" t="s">
        <v>108</v>
      </c>
      <c r="P126" s="7" t="s">
        <v>372</v>
      </c>
      <c r="Q126" s="7" t="s">
        <v>90</v>
      </c>
      <c r="R126" s="7" t="s">
        <v>900</v>
      </c>
      <c r="S126" s="7" t="s">
        <v>901</v>
      </c>
      <c r="T126" s="7" t="s">
        <v>111</v>
      </c>
      <c r="U126" s="10"/>
      <c r="V126" s="7"/>
      <c r="W126" s="7"/>
      <c r="X126" s="7"/>
      <c r="Y126" s="7"/>
      <c r="Z126" s="7"/>
      <c r="AA126" s="7"/>
      <c r="AB126" s="8"/>
      <c r="AC126" s="6"/>
      <c r="AD126" s="6"/>
      <c r="AE126" s="6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8"/>
      <c r="AR126" s="9" t="str">
        <f aca="false">IFERROR(VLOOKUP($X126,Lotes!$A:$E,5,FALSE())*$U126,"")</f>
        <v/>
      </c>
      <c r="AS126" s="9" t="n">
        <f aca="false">IF($L126="","",$L126*2.6)</f>
        <v>1950000</v>
      </c>
      <c r="AT126" s="9"/>
      <c r="AU126" s="9" t="n">
        <v>1920000</v>
      </c>
      <c r="AV126" s="9" t="n">
        <v>1382400</v>
      </c>
      <c r="AW126" s="9" t="n">
        <v>0</v>
      </c>
      <c r="AX126" s="7" t="s">
        <v>372</v>
      </c>
      <c r="AY126" s="7" t="s">
        <v>902</v>
      </c>
      <c r="AZ126" s="7"/>
      <c r="BA126" s="7" t="s">
        <v>903</v>
      </c>
      <c r="BB126" s="7" t="s">
        <v>904</v>
      </c>
      <c r="BC126" s="11" t="s">
        <v>905</v>
      </c>
      <c r="BD126" s="7" t="s">
        <v>98</v>
      </c>
      <c r="BE126" s="11"/>
    </row>
    <row r="127" customFormat="false" ht="23.85" hidden="false" customHeight="false" outlineLevel="0" collapsed="false">
      <c r="A127" s="6" t="n">
        <v>126</v>
      </c>
      <c r="B127" s="7" t="s">
        <v>832</v>
      </c>
      <c r="C127" s="7" t="s">
        <v>906</v>
      </c>
      <c r="D127" s="8"/>
      <c r="E127" s="7" t="s">
        <v>245</v>
      </c>
      <c r="F127" s="7" t="s">
        <v>351</v>
      </c>
      <c r="G127" s="6" t="n">
        <v>3</v>
      </c>
      <c r="H127" s="7" t="s">
        <v>101</v>
      </c>
      <c r="I127" s="7"/>
      <c r="J127" s="7"/>
      <c r="K127" s="7" t="s">
        <v>907</v>
      </c>
      <c r="L127" s="9" t="n">
        <v>88462</v>
      </c>
      <c r="M127" s="9"/>
      <c r="N127" s="9"/>
      <c r="O127" s="7" t="s">
        <v>41</v>
      </c>
      <c r="P127" s="7" t="s">
        <v>354</v>
      </c>
      <c r="Q127" s="7" t="s">
        <v>90</v>
      </c>
      <c r="R127" s="7" t="s">
        <v>908</v>
      </c>
      <c r="S127" s="7" t="s">
        <v>901</v>
      </c>
      <c r="T127" s="7" t="s">
        <v>93</v>
      </c>
      <c r="U127" s="10"/>
      <c r="V127" s="7"/>
      <c r="W127" s="7"/>
      <c r="X127" s="7"/>
      <c r="Y127" s="7"/>
      <c r="Z127" s="7"/>
      <c r="AA127" s="7"/>
      <c r="AB127" s="8"/>
      <c r="AC127" s="6"/>
      <c r="AD127" s="6"/>
      <c r="AE127" s="6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8"/>
      <c r="AR127" s="9" t="str">
        <f aca="false">IFERROR(VLOOKUP($X127,Lotes!$A:$E,5,FALSE())*$U127,"")</f>
        <v/>
      </c>
      <c r="AS127" s="9" t="n">
        <f aca="false">IF($L127="","",$L127*2.6)</f>
        <v>230001.2</v>
      </c>
      <c r="AT127" s="9"/>
      <c r="AU127" s="9" t="n">
        <v>230000</v>
      </c>
      <c r="AV127" s="9" t="n">
        <v>230000</v>
      </c>
      <c r="AW127" s="9" t="n">
        <v>0</v>
      </c>
      <c r="AX127" s="7" t="s">
        <v>354</v>
      </c>
      <c r="AY127" s="7" t="s">
        <v>94</v>
      </c>
      <c r="AZ127" s="7"/>
      <c r="BA127" s="7" t="s">
        <v>909</v>
      </c>
      <c r="BB127" s="7" t="s">
        <v>910</v>
      </c>
      <c r="BC127" s="11" t="s">
        <v>911</v>
      </c>
      <c r="BD127" s="7" t="s">
        <v>98</v>
      </c>
      <c r="BE127" s="11" t="s">
        <v>99</v>
      </c>
    </row>
    <row r="128" customFormat="false" ht="15" hidden="false" customHeight="false" outlineLevel="0" collapsed="false">
      <c r="A128" s="6" t="n">
        <v>127</v>
      </c>
      <c r="B128" s="7" t="s">
        <v>832</v>
      </c>
      <c r="C128" s="7" t="s">
        <v>912</v>
      </c>
      <c r="D128" s="8"/>
      <c r="E128" s="7" t="s">
        <v>172</v>
      </c>
      <c r="F128" s="7" t="s">
        <v>311</v>
      </c>
      <c r="G128" s="6" t="n">
        <v>1</v>
      </c>
      <c r="H128" s="7"/>
      <c r="I128" s="7"/>
      <c r="J128" s="7"/>
      <c r="K128" s="7" t="s">
        <v>907</v>
      </c>
      <c r="L128" s="9" t="n">
        <v>2800000</v>
      </c>
      <c r="M128" s="9"/>
      <c r="N128" s="9"/>
      <c r="O128" s="7" t="s">
        <v>41</v>
      </c>
      <c r="P128" s="7" t="s">
        <v>657</v>
      </c>
      <c r="Q128" s="7" t="s">
        <v>90</v>
      </c>
      <c r="R128" s="7" t="s">
        <v>913</v>
      </c>
      <c r="S128" s="7" t="s">
        <v>827</v>
      </c>
      <c r="T128" s="7" t="s">
        <v>93</v>
      </c>
      <c r="U128" s="10"/>
      <c r="V128" s="7"/>
      <c r="W128" s="7"/>
      <c r="X128" s="7"/>
      <c r="Y128" s="7"/>
      <c r="Z128" s="7"/>
      <c r="AA128" s="7"/>
      <c r="AB128" s="8"/>
      <c r="AC128" s="6"/>
      <c r="AD128" s="6"/>
      <c r="AE128" s="6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8"/>
      <c r="AR128" s="9" t="str">
        <f aca="false">IFERROR(VLOOKUP($X128,Lotes!$A:$E,5,FALSE())*$U128,"")</f>
        <v/>
      </c>
      <c r="AS128" s="9" t="n">
        <f aca="false">IF($L128="","",$L128*2.6)</f>
        <v>7280000</v>
      </c>
      <c r="AT128" s="9"/>
      <c r="AU128" s="9" t="n">
        <v>6803000</v>
      </c>
      <c r="AV128" s="9" t="n">
        <v>4575697.8</v>
      </c>
      <c r="AW128" s="9" t="n">
        <v>-272.200000000186</v>
      </c>
      <c r="AX128" s="7" t="s">
        <v>657</v>
      </c>
      <c r="AY128" s="7" t="s">
        <v>94</v>
      </c>
      <c r="AZ128" s="7"/>
      <c r="BA128" s="7" t="s">
        <v>914</v>
      </c>
      <c r="BB128" s="7" t="s">
        <v>915</v>
      </c>
      <c r="BC128" s="11" t="s">
        <v>916</v>
      </c>
      <c r="BD128" s="7" t="s">
        <v>662</v>
      </c>
      <c r="BE128" s="11"/>
    </row>
    <row r="129" customFormat="false" ht="57.45" hidden="false" customHeight="false" outlineLevel="0" collapsed="false">
      <c r="A129" s="6" t="n">
        <v>128</v>
      </c>
      <c r="B129" s="7" t="s">
        <v>832</v>
      </c>
      <c r="C129" s="7" t="s">
        <v>917</v>
      </c>
      <c r="D129" s="8" t="n">
        <v>5.85</v>
      </c>
      <c r="E129" s="7" t="s">
        <v>85</v>
      </c>
      <c r="F129" s="7" t="s">
        <v>159</v>
      </c>
      <c r="G129" s="6" t="n">
        <v>1</v>
      </c>
      <c r="H129" s="7" t="s">
        <v>404</v>
      </c>
      <c r="I129" s="7" t="s">
        <v>271</v>
      </c>
      <c r="J129" s="7" t="s">
        <v>918</v>
      </c>
      <c r="K129" s="7" t="s">
        <v>88</v>
      </c>
      <c r="L129" s="9" t="n">
        <v>936000</v>
      </c>
      <c r="M129" s="9"/>
      <c r="N129" s="9"/>
      <c r="O129" s="7" t="s">
        <v>108</v>
      </c>
      <c r="P129" s="7" t="s">
        <v>919</v>
      </c>
      <c r="Q129" s="7" t="s">
        <v>155</v>
      </c>
      <c r="R129" s="7" t="s">
        <v>920</v>
      </c>
      <c r="S129" s="7" t="s">
        <v>921</v>
      </c>
      <c r="T129" s="7" t="s">
        <v>93</v>
      </c>
      <c r="U129" s="10"/>
      <c r="V129" s="7" t="s">
        <v>919</v>
      </c>
      <c r="W129" s="7" t="s">
        <v>155</v>
      </c>
      <c r="X129" s="7"/>
      <c r="Y129" s="7"/>
      <c r="Z129" s="7"/>
      <c r="AA129" s="7"/>
      <c r="AB129" s="8"/>
      <c r="AC129" s="6"/>
      <c r="AD129" s="6"/>
      <c r="AE129" s="6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8"/>
      <c r="AR129" s="9" t="str">
        <f aca="false">IFERROR(VLOOKUP($X129,Lotes!$A:$E,5,FALSE())*$U129,"")</f>
        <v/>
      </c>
      <c r="AS129" s="9" t="n">
        <f aca="false">IF($L129="","",$L129*2.6)</f>
        <v>2433600</v>
      </c>
      <c r="AT129" s="9"/>
      <c r="AU129" s="9" t="n">
        <v>2808000</v>
      </c>
      <c r="AV129" s="9" t="n">
        <v>2808000</v>
      </c>
      <c r="AW129" s="9" t="n">
        <v>0</v>
      </c>
      <c r="AX129" s="7" t="s">
        <v>489</v>
      </c>
      <c r="AY129" s="7" t="s">
        <v>94</v>
      </c>
      <c r="AZ129" s="7"/>
      <c r="BA129" s="7" t="s">
        <v>922</v>
      </c>
      <c r="BB129" s="7" t="s">
        <v>923</v>
      </c>
      <c r="BC129" s="11" t="s">
        <v>924</v>
      </c>
      <c r="BD129" s="7" t="s">
        <v>98</v>
      </c>
      <c r="BE129" s="11" t="s">
        <v>925</v>
      </c>
    </row>
    <row r="130" customFormat="false" ht="57.45" hidden="false" customHeight="false" outlineLevel="0" collapsed="false">
      <c r="A130" s="6" t="n">
        <v>129</v>
      </c>
      <c r="B130" s="7" t="s">
        <v>832</v>
      </c>
      <c r="C130" s="7" t="s">
        <v>926</v>
      </c>
      <c r="D130" s="8" t="n">
        <v>1.92</v>
      </c>
      <c r="E130" s="7" t="s">
        <v>403</v>
      </c>
      <c r="F130" s="7" t="s">
        <v>765</v>
      </c>
      <c r="G130" s="6" t="n">
        <v>2</v>
      </c>
      <c r="H130" s="7" t="s">
        <v>87</v>
      </c>
      <c r="I130" s="7" t="s">
        <v>271</v>
      </c>
      <c r="J130" s="7" t="s">
        <v>927</v>
      </c>
      <c r="K130" s="7" t="s">
        <v>88</v>
      </c>
      <c r="L130" s="9" t="n">
        <v>5760000</v>
      </c>
      <c r="M130" s="9"/>
      <c r="N130" s="9"/>
      <c r="O130" s="7" t="s">
        <v>108</v>
      </c>
      <c r="P130" s="7" t="s">
        <v>919</v>
      </c>
      <c r="Q130" s="7" t="s">
        <v>155</v>
      </c>
      <c r="R130" s="7" t="s">
        <v>928</v>
      </c>
      <c r="S130" s="7" t="s">
        <v>921</v>
      </c>
      <c r="T130" s="7" t="s">
        <v>93</v>
      </c>
      <c r="U130" s="10"/>
      <c r="V130" s="7" t="s">
        <v>919</v>
      </c>
      <c r="W130" s="7" t="s">
        <v>155</v>
      </c>
      <c r="X130" s="7"/>
      <c r="Y130" s="7"/>
      <c r="Z130" s="7"/>
      <c r="AA130" s="7"/>
      <c r="AB130" s="8"/>
      <c r="AC130" s="6"/>
      <c r="AD130" s="6"/>
      <c r="AE130" s="6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8"/>
      <c r="AR130" s="9" t="str">
        <f aca="false">IFERROR(VLOOKUP($X130,Lotes!$A:$E,5,FALSE())*$U130,"")</f>
        <v/>
      </c>
      <c r="AS130" s="9" t="n">
        <f aca="false">IF($L130="","",$L130*2.6)</f>
        <v>14976000</v>
      </c>
      <c r="AT130" s="9"/>
      <c r="AU130" s="9" t="n">
        <v>17280000</v>
      </c>
      <c r="AV130" s="9" t="n">
        <v>17280000</v>
      </c>
      <c r="AW130" s="9" t="n">
        <v>0</v>
      </c>
      <c r="AX130" s="7" t="s">
        <v>489</v>
      </c>
      <c r="AY130" s="7" t="s">
        <v>94</v>
      </c>
      <c r="AZ130" s="7"/>
      <c r="BA130" s="7" t="s">
        <v>929</v>
      </c>
      <c r="BB130" s="7" t="s">
        <v>930</v>
      </c>
      <c r="BC130" s="11" t="s">
        <v>931</v>
      </c>
      <c r="BD130" s="7" t="s">
        <v>98</v>
      </c>
      <c r="BE130" s="11" t="s">
        <v>925</v>
      </c>
    </row>
    <row r="131" customFormat="false" ht="57.45" hidden="false" customHeight="false" outlineLevel="0" collapsed="false">
      <c r="A131" s="6" t="n">
        <v>130</v>
      </c>
      <c r="B131" s="7" t="s">
        <v>832</v>
      </c>
      <c r="C131" s="7" t="s">
        <v>932</v>
      </c>
      <c r="D131" s="8" t="n">
        <v>0.69</v>
      </c>
      <c r="E131" s="7" t="s">
        <v>403</v>
      </c>
      <c r="F131" s="7" t="s">
        <v>765</v>
      </c>
      <c r="G131" s="6" t="n">
        <v>1</v>
      </c>
      <c r="H131" s="7" t="s">
        <v>87</v>
      </c>
      <c r="I131" s="7" t="s">
        <v>271</v>
      </c>
      <c r="J131" s="7" t="s">
        <v>933</v>
      </c>
      <c r="K131" s="7" t="s">
        <v>88</v>
      </c>
      <c r="L131" s="9" t="n">
        <v>2070000</v>
      </c>
      <c r="M131" s="9"/>
      <c r="N131" s="9"/>
      <c r="O131" s="7" t="s">
        <v>108</v>
      </c>
      <c r="P131" s="7" t="s">
        <v>919</v>
      </c>
      <c r="Q131" s="7" t="s">
        <v>155</v>
      </c>
      <c r="R131" s="7" t="s">
        <v>934</v>
      </c>
      <c r="S131" s="7" t="s">
        <v>921</v>
      </c>
      <c r="T131" s="7" t="s">
        <v>93</v>
      </c>
      <c r="U131" s="10"/>
      <c r="V131" s="7" t="s">
        <v>919</v>
      </c>
      <c r="W131" s="7" t="s">
        <v>155</v>
      </c>
      <c r="X131" s="7"/>
      <c r="Y131" s="7"/>
      <c r="Z131" s="7"/>
      <c r="AA131" s="7"/>
      <c r="AB131" s="8"/>
      <c r="AC131" s="6"/>
      <c r="AD131" s="6"/>
      <c r="AE131" s="6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8"/>
      <c r="AR131" s="9" t="str">
        <f aca="false">IFERROR(VLOOKUP($X131,Lotes!$A:$E,5,FALSE())*$U131,"")</f>
        <v/>
      </c>
      <c r="AS131" s="9" t="n">
        <f aca="false">IF($L131="","",$L131*2.6)</f>
        <v>5382000</v>
      </c>
      <c r="AT131" s="9"/>
      <c r="AU131" s="9" t="n">
        <v>6210000</v>
      </c>
      <c r="AV131" s="9" t="n">
        <v>6210000</v>
      </c>
      <c r="AW131" s="9" t="n">
        <v>0</v>
      </c>
      <c r="AX131" s="7" t="s">
        <v>489</v>
      </c>
      <c r="AY131" s="7" t="s">
        <v>94</v>
      </c>
      <c r="AZ131" s="7"/>
      <c r="BA131" s="7" t="s">
        <v>935</v>
      </c>
      <c r="BB131" s="7" t="s">
        <v>936</v>
      </c>
      <c r="BC131" s="11" t="s">
        <v>937</v>
      </c>
      <c r="BD131" s="7" t="s">
        <v>98</v>
      </c>
      <c r="BE131" s="11" t="s">
        <v>925</v>
      </c>
    </row>
    <row r="132" customFormat="false" ht="57.45" hidden="false" customHeight="false" outlineLevel="0" collapsed="false">
      <c r="A132" s="6" t="n">
        <v>131</v>
      </c>
      <c r="B132" s="7" t="s">
        <v>832</v>
      </c>
      <c r="C132" s="7" t="s">
        <v>938</v>
      </c>
      <c r="D132" s="8" t="n">
        <v>0.45</v>
      </c>
      <c r="E132" s="7" t="s">
        <v>403</v>
      </c>
      <c r="F132" s="7" t="s">
        <v>765</v>
      </c>
      <c r="G132" s="6" t="n">
        <v>1</v>
      </c>
      <c r="H132" s="7" t="s">
        <v>87</v>
      </c>
      <c r="I132" s="7"/>
      <c r="J132" s="7"/>
      <c r="K132" s="7" t="s">
        <v>88</v>
      </c>
      <c r="L132" s="9" t="n">
        <v>1350000</v>
      </c>
      <c r="M132" s="9"/>
      <c r="N132" s="9"/>
      <c r="O132" s="7" t="s">
        <v>108</v>
      </c>
      <c r="P132" s="7" t="s">
        <v>919</v>
      </c>
      <c r="Q132" s="7" t="s">
        <v>155</v>
      </c>
      <c r="R132" s="7" t="s">
        <v>939</v>
      </c>
      <c r="S132" s="7" t="s">
        <v>921</v>
      </c>
      <c r="T132" s="7" t="s">
        <v>93</v>
      </c>
      <c r="U132" s="10"/>
      <c r="V132" s="7" t="s">
        <v>919</v>
      </c>
      <c r="W132" s="7" t="s">
        <v>155</v>
      </c>
      <c r="X132" s="7"/>
      <c r="Y132" s="7"/>
      <c r="Z132" s="7"/>
      <c r="AA132" s="7"/>
      <c r="AB132" s="8"/>
      <c r="AC132" s="6"/>
      <c r="AD132" s="6"/>
      <c r="AE132" s="6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8"/>
      <c r="AR132" s="9" t="str">
        <f aca="false">IFERROR(VLOOKUP($X132,Lotes!$A:$E,5,FALSE())*$U132,"")</f>
        <v/>
      </c>
      <c r="AS132" s="9" t="n">
        <f aca="false">IF($L132="","",$L132*2.6)</f>
        <v>3510000</v>
      </c>
      <c r="AT132" s="9"/>
      <c r="AU132" s="9" t="n">
        <v>4050000</v>
      </c>
      <c r="AV132" s="9" t="n">
        <v>4050000</v>
      </c>
      <c r="AW132" s="9" t="n">
        <v>0</v>
      </c>
      <c r="AX132" s="7" t="s">
        <v>489</v>
      </c>
      <c r="AY132" s="7" t="s">
        <v>94</v>
      </c>
      <c r="AZ132" s="7"/>
      <c r="BA132" s="7" t="s">
        <v>940</v>
      </c>
      <c r="BB132" s="7" t="s">
        <v>941</v>
      </c>
      <c r="BC132" s="11" t="s">
        <v>942</v>
      </c>
      <c r="BD132" s="7" t="s">
        <v>98</v>
      </c>
      <c r="BE132" s="11" t="s">
        <v>925</v>
      </c>
    </row>
    <row r="133" customFormat="false" ht="57.45" hidden="false" customHeight="false" outlineLevel="0" collapsed="false">
      <c r="A133" s="6" t="n">
        <v>132</v>
      </c>
      <c r="B133" s="7" t="s">
        <v>832</v>
      </c>
      <c r="C133" s="7" t="s">
        <v>943</v>
      </c>
      <c r="D133" s="8" t="n">
        <v>0.53</v>
      </c>
      <c r="E133" s="7" t="s">
        <v>85</v>
      </c>
      <c r="F133" s="7" t="s">
        <v>765</v>
      </c>
      <c r="G133" s="6" t="n">
        <v>1</v>
      </c>
      <c r="H133" s="7" t="s">
        <v>404</v>
      </c>
      <c r="I133" s="7" t="s">
        <v>271</v>
      </c>
      <c r="J133" s="7" t="s">
        <v>944</v>
      </c>
      <c r="K133" s="7" t="s">
        <v>88</v>
      </c>
      <c r="L133" s="9" t="n">
        <v>1590000</v>
      </c>
      <c r="M133" s="9"/>
      <c r="N133" s="9"/>
      <c r="O133" s="7" t="s">
        <v>108</v>
      </c>
      <c r="P133" s="7" t="s">
        <v>919</v>
      </c>
      <c r="Q133" s="7" t="s">
        <v>155</v>
      </c>
      <c r="R133" s="7" t="s">
        <v>945</v>
      </c>
      <c r="S133" s="7" t="s">
        <v>921</v>
      </c>
      <c r="T133" s="7" t="s">
        <v>93</v>
      </c>
      <c r="U133" s="10"/>
      <c r="V133" s="7" t="s">
        <v>919</v>
      </c>
      <c r="W133" s="7" t="s">
        <v>155</v>
      </c>
      <c r="X133" s="7"/>
      <c r="Y133" s="7"/>
      <c r="Z133" s="7"/>
      <c r="AA133" s="7"/>
      <c r="AB133" s="8"/>
      <c r="AC133" s="6"/>
      <c r="AD133" s="6"/>
      <c r="AE133" s="6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8"/>
      <c r="AR133" s="9" t="str">
        <f aca="false">IFERROR(VLOOKUP($X133,Lotes!$A:$E,5,FALSE())*$U133,"")</f>
        <v/>
      </c>
      <c r="AS133" s="9" t="n">
        <f aca="false">IF($L133="","",$L133*2.6)</f>
        <v>4134000</v>
      </c>
      <c r="AT133" s="9"/>
      <c r="AU133" s="9" t="n">
        <v>4770000</v>
      </c>
      <c r="AV133" s="9" t="n">
        <v>4770000</v>
      </c>
      <c r="AW133" s="9" t="n">
        <v>0</v>
      </c>
      <c r="AX133" s="7" t="s">
        <v>489</v>
      </c>
      <c r="AY133" s="7" t="s">
        <v>94</v>
      </c>
      <c r="AZ133" s="7"/>
      <c r="BA133" s="7" t="s">
        <v>946</v>
      </c>
      <c r="BB133" s="7" t="s">
        <v>947</v>
      </c>
      <c r="BC133" s="11" t="s">
        <v>948</v>
      </c>
      <c r="BD133" s="7" t="s">
        <v>98</v>
      </c>
      <c r="BE133" s="11" t="s">
        <v>925</v>
      </c>
    </row>
    <row r="134" customFormat="false" ht="57.45" hidden="false" customHeight="false" outlineLevel="0" collapsed="false">
      <c r="A134" s="6" t="n">
        <v>133</v>
      </c>
      <c r="B134" s="7" t="s">
        <v>832</v>
      </c>
      <c r="C134" s="7" t="s">
        <v>949</v>
      </c>
      <c r="D134" s="8" t="n">
        <v>0.69</v>
      </c>
      <c r="E134" s="7" t="s">
        <v>85</v>
      </c>
      <c r="F134" s="7" t="s">
        <v>765</v>
      </c>
      <c r="G134" s="6" t="n">
        <v>1</v>
      </c>
      <c r="H134" s="7" t="s">
        <v>87</v>
      </c>
      <c r="I134" s="7"/>
      <c r="J134" s="7"/>
      <c r="K134" s="7" t="s">
        <v>88</v>
      </c>
      <c r="L134" s="9" t="n">
        <v>2070000</v>
      </c>
      <c r="M134" s="9"/>
      <c r="N134" s="9"/>
      <c r="O134" s="7" t="s">
        <v>108</v>
      </c>
      <c r="P134" s="7" t="s">
        <v>919</v>
      </c>
      <c r="Q134" s="7" t="s">
        <v>155</v>
      </c>
      <c r="R134" s="7" t="s">
        <v>950</v>
      </c>
      <c r="S134" s="7" t="s">
        <v>921</v>
      </c>
      <c r="T134" s="7" t="s">
        <v>93</v>
      </c>
      <c r="U134" s="10"/>
      <c r="V134" s="7" t="s">
        <v>919</v>
      </c>
      <c r="W134" s="7" t="s">
        <v>155</v>
      </c>
      <c r="X134" s="7"/>
      <c r="Y134" s="7"/>
      <c r="Z134" s="7"/>
      <c r="AA134" s="7"/>
      <c r="AB134" s="8"/>
      <c r="AC134" s="6"/>
      <c r="AD134" s="6"/>
      <c r="AE134" s="6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8"/>
      <c r="AR134" s="9" t="str">
        <f aca="false">IFERROR(VLOOKUP($X134,Lotes!$A:$E,5,FALSE())*$U134,"")</f>
        <v/>
      </c>
      <c r="AS134" s="9" t="n">
        <f aca="false">IF($L134="","",$L134*2.6)</f>
        <v>5382000</v>
      </c>
      <c r="AT134" s="9"/>
      <c r="AU134" s="9" t="n">
        <v>8176500</v>
      </c>
      <c r="AV134" s="9" t="n">
        <v>8176500</v>
      </c>
      <c r="AW134" s="9" t="n">
        <v>0</v>
      </c>
      <c r="AX134" s="7" t="s">
        <v>489</v>
      </c>
      <c r="AY134" s="7" t="s">
        <v>94</v>
      </c>
      <c r="AZ134" s="7"/>
      <c r="BA134" s="7" t="s">
        <v>951</v>
      </c>
      <c r="BB134" s="7" t="s">
        <v>952</v>
      </c>
      <c r="BC134" s="11" t="s">
        <v>953</v>
      </c>
      <c r="BD134" s="7" t="s">
        <v>98</v>
      </c>
      <c r="BE134" s="11" t="s">
        <v>925</v>
      </c>
    </row>
    <row r="135" customFormat="false" ht="57.45" hidden="false" customHeight="false" outlineLevel="0" collapsed="false">
      <c r="A135" s="6" t="n">
        <v>134</v>
      </c>
      <c r="B135" s="7" t="s">
        <v>832</v>
      </c>
      <c r="C135" s="7" t="s">
        <v>954</v>
      </c>
      <c r="D135" s="8" t="n">
        <v>0.33</v>
      </c>
      <c r="E135" s="7" t="s">
        <v>85</v>
      </c>
      <c r="F135" s="7" t="s">
        <v>765</v>
      </c>
      <c r="G135" s="6" t="n">
        <v>1</v>
      </c>
      <c r="H135" s="7" t="s">
        <v>87</v>
      </c>
      <c r="I135" s="7"/>
      <c r="J135" s="7"/>
      <c r="K135" s="7" t="s">
        <v>88</v>
      </c>
      <c r="L135" s="9" t="n">
        <v>990000</v>
      </c>
      <c r="M135" s="9"/>
      <c r="N135" s="9"/>
      <c r="O135" s="7" t="s">
        <v>108</v>
      </c>
      <c r="P135" s="7" t="s">
        <v>919</v>
      </c>
      <c r="Q135" s="7" t="s">
        <v>155</v>
      </c>
      <c r="R135" s="7" t="s">
        <v>955</v>
      </c>
      <c r="S135" s="7" t="s">
        <v>921</v>
      </c>
      <c r="T135" s="7" t="s">
        <v>93</v>
      </c>
      <c r="U135" s="10"/>
      <c r="V135" s="7" t="s">
        <v>919</v>
      </c>
      <c r="W135" s="7" t="s">
        <v>155</v>
      </c>
      <c r="X135" s="7"/>
      <c r="Y135" s="7"/>
      <c r="Z135" s="7"/>
      <c r="AA135" s="7"/>
      <c r="AB135" s="8"/>
      <c r="AC135" s="6"/>
      <c r="AD135" s="6"/>
      <c r="AE135" s="6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8"/>
      <c r="AR135" s="9" t="str">
        <f aca="false">IFERROR(VLOOKUP($X135,Lotes!$A:$E,5,FALSE())*$U135,"")</f>
        <v/>
      </c>
      <c r="AS135" s="9" t="n">
        <f aca="false">IF($L135="","",$L135*2.6)</f>
        <v>2574000</v>
      </c>
      <c r="AT135" s="9"/>
      <c r="AU135" s="9" t="n">
        <v>3910500</v>
      </c>
      <c r="AV135" s="9" t="n">
        <v>3910500</v>
      </c>
      <c r="AW135" s="9" t="n">
        <v>0</v>
      </c>
      <c r="AX135" s="7" t="s">
        <v>489</v>
      </c>
      <c r="AY135" s="7" t="s">
        <v>94</v>
      </c>
      <c r="AZ135" s="7"/>
      <c r="BA135" s="7" t="s">
        <v>956</v>
      </c>
      <c r="BB135" s="7" t="s">
        <v>957</v>
      </c>
      <c r="BC135" s="11" t="s">
        <v>958</v>
      </c>
      <c r="BD135" s="7" t="s">
        <v>98</v>
      </c>
      <c r="BE135" s="11" t="s">
        <v>925</v>
      </c>
    </row>
    <row r="136" customFormat="false" ht="23.85" hidden="false" customHeight="false" outlineLevel="0" collapsed="false">
      <c r="A136" s="6" t="n">
        <v>135</v>
      </c>
      <c r="B136" s="7" t="s">
        <v>648</v>
      </c>
      <c r="C136" s="7" t="s">
        <v>899</v>
      </c>
      <c r="D136" s="8" t="n">
        <v>18</v>
      </c>
      <c r="E136" s="7" t="s">
        <v>386</v>
      </c>
      <c r="F136" s="7" t="s">
        <v>311</v>
      </c>
      <c r="G136" s="6" t="n">
        <v>1</v>
      </c>
      <c r="H136" s="7" t="s">
        <v>101</v>
      </c>
      <c r="I136" s="7"/>
      <c r="J136" s="7"/>
      <c r="K136" s="7" t="s">
        <v>907</v>
      </c>
      <c r="L136" s="9" t="n">
        <v>750000</v>
      </c>
      <c r="M136" s="9"/>
      <c r="N136" s="9"/>
      <c r="O136" s="7" t="s">
        <v>41</v>
      </c>
      <c r="P136" s="7" t="s">
        <v>102</v>
      </c>
      <c r="Q136" s="7" t="s">
        <v>90</v>
      </c>
      <c r="R136" s="7" t="s">
        <v>959</v>
      </c>
      <c r="S136" s="7" t="s">
        <v>901</v>
      </c>
      <c r="T136" s="7" t="s">
        <v>93</v>
      </c>
      <c r="U136" s="10"/>
      <c r="V136" s="7"/>
      <c r="W136" s="7"/>
      <c r="X136" s="7"/>
      <c r="Y136" s="7"/>
      <c r="Z136" s="7"/>
      <c r="AA136" s="7"/>
      <c r="AB136" s="8"/>
      <c r="AC136" s="6"/>
      <c r="AD136" s="6"/>
      <c r="AE136" s="6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8"/>
      <c r="AR136" s="9" t="str">
        <f aca="false">IFERROR(VLOOKUP($X136,Lotes!$A:$E,5,FALSE())*$U136,"")</f>
        <v/>
      </c>
      <c r="AS136" s="9" t="n">
        <f aca="false">IF($L136="","",$L136*2.6)</f>
        <v>1950000</v>
      </c>
      <c r="AT136" s="9"/>
      <c r="AU136" s="9" t="n">
        <v>1920000</v>
      </c>
      <c r="AV136" s="9" t="n">
        <v>1488000</v>
      </c>
      <c r="AW136" s="9" t="n">
        <v>0</v>
      </c>
      <c r="AX136" s="7" t="s">
        <v>102</v>
      </c>
      <c r="AY136" s="7" t="s">
        <v>94</v>
      </c>
      <c r="AZ136" s="7"/>
      <c r="BA136" s="7" t="s">
        <v>960</v>
      </c>
      <c r="BB136" s="7" t="s">
        <v>961</v>
      </c>
      <c r="BC136" s="11" t="s">
        <v>962</v>
      </c>
      <c r="BD136" s="7" t="s">
        <v>98</v>
      </c>
      <c r="BE136" s="11"/>
    </row>
    <row r="137" customFormat="false" ht="23.85" hidden="false" customHeight="false" outlineLevel="0" collapsed="false">
      <c r="A137" s="6" t="n">
        <v>136</v>
      </c>
      <c r="B137" s="7" t="s">
        <v>648</v>
      </c>
      <c r="C137" s="7" t="s">
        <v>899</v>
      </c>
      <c r="D137" s="8" t="n">
        <v>18</v>
      </c>
      <c r="E137" s="7" t="s">
        <v>386</v>
      </c>
      <c r="F137" s="7" t="s">
        <v>311</v>
      </c>
      <c r="G137" s="6" t="n">
        <v>2</v>
      </c>
      <c r="H137" s="7" t="s">
        <v>101</v>
      </c>
      <c r="I137" s="7"/>
      <c r="J137" s="7"/>
      <c r="K137" s="7" t="s">
        <v>907</v>
      </c>
      <c r="L137" s="9" t="n">
        <v>750000</v>
      </c>
      <c r="M137" s="9"/>
      <c r="N137" s="9"/>
      <c r="O137" s="7" t="s">
        <v>41</v>
      </c>
      <c r="P137" s="7" t="s">
        <v>102</v>
      </c>
      <c r="Q137" s="7" t="s">
        <v>90</v>
      </c>
      <c r="R137" s="7" t="s">
        <v>963</v>
      </c>
      <c r="S137" s="7" t="s">
        <v>901</v>
      </c>
      <c r="T137" s="7" t="s">
        <v>93</v>
      </c>
      <c r="U137" s="10"/>
      <c r="V137" s="7"/>
      <c r="W137" s="7"/>
      <c r="X137" s="7"/>
      <c r="Y137" s="7"/>
      <c r="Z137" s="7"/>
      <c r="AA137" s="7"/>
      <c r="AB137" s="8"/>
      <c r="AC137" s="6"/>
      <c r="AD137" s="6"/>
      <c r="AE137" s="6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8"/>
      <c r="AR137" s="9" t="str">
        <f aca="false">IFERROR(VLOOKUP($X137,Lotes!$A:$E,5,FALSE())*$U137,"")</f>
        <v/>
      </c>
      <c r="AS137" s="9" t="n">
        <f aca="false">IF($L137="","",$L137*2.6)</f>
        <v>1950000</v>
      </c>
      <c r="AT137" s="9"/>
      <c r="AU137" s="9" t="n">
        <v>1920000</v>
      </c>
      <c r="AV137" s="9" t="n">
        <v>1488000</v>
      </c>
      <c r="AW137" s="9" t="n">
        <v>0</v>
      </c>
      <c r="AX137" s="7" t="s">
        <v>102</v>
      </c>
      <c r="AY137" s="7" t="s">
        <v>94</v>
      </c>
      <c r="AZ137" s="7"/>
      <c r="BA137" s="7" t="s">
        <v>964</v>
      </c>
      <c r="BB137" s="7" t="s">
        <v>965</v>
      </c>
      <c r="BC137" s="11" t="s">
        <v>966</v>
      </c>
      <c r="BD137" s="7" t="s">
        <v>98</v>
      </c>
      <c r="BE137" s="11"/>
    </row>
    <row r="138" customFormat="false" ht="23.85" hidden="false" customHeight="false" outlineLevel="0" collapsed="false">
      <c r="A138" s="6" t="n">
        <v>137</v>
      </c>
      <c r="B138" s="7" t="s">
        <v>648</v>
      </c>
      <c r="C138" s="7" t="s">
        <v>899</v>
      </c>
      <c r="D138" s="8" t="n">
        <v>18</v>
      </c>
      <c r="E138" s="7" t="s">
        <v>386</v>
      </c>
      <c r="F138" s="7" t="s">
        <v>311</v>
      </c>
      <c r="G138" s="6" t="n">
        <v>3</v>
      </c>
      <c r="H138" s="7" t="s">
        <v>101</v>
      </c>
      <c r="I138" s="7"/>
      <c r="J138" s="7"/>
      <c r="K138" s="7" t="s">
        <v>907</v>
      </c>
      <c r="L138" s="9" t="n">
        <v>750000</v>
      </c>
      <c r="M138" s="9"/>
      <c r="N138" s="9"/>
      <c r="O138" s="7" t="s">
        <v>108</v>
      </c>
      <c r="P138" s="7" t="s">
        <v>372</v>
      </c>
      <c r="Q138" s="7" t="s">
        <v>90</v>
      </c>
      <c r="R138" s="7" t="s">
        <v>967</v>
      </c>
      <c r="S138" s="7" t="s">
        <v>901</v>
      </c>
      <c r="T138" s="7" t="s">
        <v>93</v>
      </c>
      <c r="U138" s="10"/>
      <c r="V138" s="7"/>
      <c r="W138" s="7"/>
      <c r="X138" s="7"/>
      <c r="Y138" s="7"/>
      <c r="Z138" s="7"/>
      <c r="AA138" s="7"/>
      <c r="AB138" s="8"/>
      <c r="AC138" s="6"/>
      <c r="AD138" s="6"/>
      <c r="AE138" s="6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8"/>
      <c r="AR138" s="9" t="str">
        <f aca="false">IFERROR(VLOOKUP($X138,Lotes!$A:$E,5,FALSE())*$U138,"")</f>
        <v/>
      </c>
      <c r="AS138" s="9" t="n">
        <f aca="false">IF($L138="","",$L138*2.6)</f>
        <v>1950000</v>
      </c>
      <c r="AT138" s="9"/>
      <c r="AU138" s="9" t="n">
        <v>1920000</v>
      </c>
      <c r="AV138" s="9" t="n">
        <v>750720</v>
      </c>
      <c r="AW138" s="9" t="n">
        <v>720</v>
      </c>
      <c r="AX138" s="7" t="s">
        <v>372</v>
      </c>
      <c r="AY138" s="7" t="s">
        <v>94</v>
      </c>
      <c r="AZ138" s="7"/>
      <c r="BA138" s="7" t="s">
        <v>968</v>
      </c>
      <c r="BB138" s="7" t="s">
        <v>969</v>
      </c>
      <c r="BC138" s="11" t="s">
        <v>970</v>
      </c>
      <c r="BD138" s="7" t="s">
        <v>98</v>
      </c>
      <c r="BE138" s="11"/>
    </row>
    <row r="139" customFormat="false" ht="23.85" hidden="false" customHeight="false" outlineLevel="0" collapsed="false">
      <c r="A139" s="6" t="n">
        <v>138</v>
      </c>
      <c r="B139" s="7" t="s">
        <v>648</v>
      </c>
      <c r="C139" s="7" t="s">
        <v>899</v>
      </c>
      <c r="D139" s="8" t="n">
        <v>18</v>
      </c>
      <c r="E139" s="7" t="s">
        <v>386</v>
      </c>
      <c r="F139" s="7" t="s">
        <v>311</v>
      </c>
      <c r="G139" s="6" t="n">
        <v>4</v>
      </c>
      <c r="H139" s="7" t="s">
        <v>101</v>
      </c>
      <c r="I139" s="7"/>
      <c r="J139" s="7"/>
      <c r="K139" s="7" t="s">
        <v>907</v>
      </c>
      <c r="L139" s="9" t="n">
        <v>750000</v>
      </c>
      <c r="M139" s="9"/>
      <c r="N139" s="9"/>
      <c r="O139" s="7" t="s">
        <v>108</v>
      </c>
      <c r="P139" s="7" t="s">
        <v>489</v>
      </c>
      <c r="Q139" s="7" t="s">
        <v>90</v>
      </c>
      <c r="R139" s="7" t="s">
        <v>971</v>
      </c>
      <c r="S139" s="7" t="s">
        <v>901</v>
      </c>
      <c r="T139" s="7" t="s">
        <v>93</v>
      </c>
      <c r="U139" s="10"/>
      <c r="V139" s="7"/>
      <c r="W139" s="7"/>
      <c r="X139" s="7"/>
      <c r="Y139" s="7"/>
      <c r="Z139" s="7"/>
      <c r="AA139" s="7"/>
      <c r="AB139" s="8"/>
      <c r="AC139" s="6"/>
      <c r="AD139" s="6"/>
      <c r="AE139" s="6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8"/>
      <c r="AR139" s="9" t="str">
        <f aca="false">IFERROR(VLOOKUP($X139,Lotes!$A:$E,5,FALSE())*$U139,"")</f>
        <v/>
      </c>
      <c r="AS139" s="9" t="n">
        <f aca="false">IF($L139="","",$L139*2.6)</f>
        <v>1950000</v>
      </c>
      <c r="AT139" s="9"/>
      <c r="AU139" s="9" t="n">
        <v>1920000</v>
      </c>
      <c r="AV139" s="9" t="n">
        <v>1361280</v>
      </c>
      <c r="AW139" s="9" t="n">
        <v>-7920</v>
      </c>
      <c r="AX139" s="7" t="s">
        <v>489</v>
      </c>
      <c r="AY139" s="7" t="s">
        <v>94</v>
      </c>
      <c r="AZ139" s="7"/>
      <c r="BA139" s="7" t="s">
        <v>972</v>
      </c>
      <c r="BB139" s="7" t="s">
        <v>973</v>
      </c>
      <c r="BC139" s="11" t="s">
        <v>974</v>
      </c>
      <c r="BD139" s="7" t="s">
        <v>98</v>
      </c>
      <c r="BE139" s="11"/>
    </row>
    <row r="140" customFormat="false" ht="23.85" hidden="false" customHeight="false" outlineLevel="0" collapsed="false">
      <c r="A140" s="6" t="n">
        <v>139</v>
      </c>
      <c r="B140" s="7" t="s">
        <v>648</v>
      </c>
      <c r="C140" s="7" t="s">
        <v>899</v>
      </c>
      <c r="D140" s="8" t="n">
        <v>18</v>
      </c>
      <c r="E140" s="7" t="s">
        <v>386</v>
      </c>
      <c r="F140" s="7" t="s">
        <v>311</v>
      </c>
      <c r="G140" s="6" t="n">
        <v>5</v>
      </c>
      <c r="H140" s="7" t="s">
        <v>101</v>
      </c>
      <c r="I140" s="7"/>
      <c r="J140" s="7"/>
      <c r="K140" s="7" t="s">
        <v>907</v>
      </c>
      <c r="L140" s="9" t="n">
        <v>750000</v>
      </c>
      <c r="M140" s="9"/>
      <c r="N140" s="9"/>
      <c r="O140" s="7" t="s">
        <v>41</v>
      </c>
      <c r="P140" s="7" t="s">
        <v>89</v>
      </c>
      <c r="Q140" s="7" t="s">
        <v>90</v>
      </c>
      <c r="R140" s="7" t="s">
        <v>975</v>
      </c>
      <c r="S140" s="7" t="s">
        <v>901</v>
      </c>
      <c r="T140" s="7" t="s">
        <v>111</v>
      </c>
      <c r="U140" s="10"/>
      <c r="V140" s="7"/>
      <c r="W140" s="7"/>
      <c r="X140" s="7"/>
      <c r="Y140" s="7"/>
      <c r="Z140" s="7"/>
      <c r="AA140" s="7"/>
      <c r="AB140" s="8"/>
      <c r="AC140" s="6"/>
      <c r="AD140" s="6"/>
      <c r="AE140" s="6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8"/>
      <c r="AR140" s="9" t="str">
        <f aca="false">IFERROR(VLOOKUP($X140,Lotes!$A:$E,5,FALSE())*$U140,"")</f>
        <v/>
      </c>
      <c r="AS140" s="9" t="n">
        <f aca="false">IF($L140="","",$L140*2.6)</f>
        <v>1950000</v>
      </c>
      <c r="AT140" s="9"/>
      <c r="AU140" s="9" t="n">
        <v>1920000</v>
      </c>
      <c r="AV140" s="9" t="n">
        <v>1920000</v>
      </c>
      <c r="AW140" s="9" t="n">
        <v>1920000</v>
      </c>
      <c r="AX140" s="7" t="s">
        <v>89</v>
      </c>
      <c r="AY140" s="7" t="s">
        <v>112</v>
      </c>
      <c r="AZ140" s="7"/>
      <c r="BA140" s="7" t="s">
        <v>976</v>
      </c>
      <c r="BB140" s="7" t="s">
        <v>977</v>
      </c>
      <c r="BC140" s="11" t="s">
        <v>978</v>
      </c>
      <c r="BD140" s="7" t="s">
        <v>98</v>
      </c>
      <c r="BE140" s="11"/>
    </row>
    <row r="141" customFormat="false" ht="79.85" hidden="false" customHeight="false" outlineLevel="0" collapsed="false">
      <c r="A141" s="6" t="n">
        <v>140</v>
      </c>
      <c r="B141" s="7" t="s">
        <v>648</v>
      </c>
      <c r="C141" s="7" t="s">
        <v>899</v>
      </c>
      <c r="D141" s="8" t="n">
        <v>0.2</v>
      </c>
      <c r="E141" s="7" t="s">
        <v>386</v>
      </c>
      <c r="F141" s="7" t="s">
        <v>311</v>
      </c>
      <c r="G141" s="6" t="n">
        <v>6</v>
      </c>
      <c r="H141" s="7" t="s">
        <v>101</v>
      </c>
      <c r="I141" s="7"/>
      <c r="J141" s="7"/>
      <c r="K141" s="7" t="s">
        <v>907</v>
      </c>
      <c r="L141" s="9" t="n">
        <v>750000</v>
      </c>
      <c r="M141" s="9"/>
      <c r="N141" s="9"/>
      <c r="O141" s="7" t="s">
        <v>41</v>
      </c>
      <c r="P141" s="7" t="s">
        <v>109</v>
      </c>
      <c r="Q141" s="7" t="s">
        <v>90</v>
      </c>
      <c r="R141" s="7" t="s">
        <v>979</v>
      </c>
      <c r="S141" s="7" t="s">
        <v>901</v>
      </c>
      <c r="T141" s="7"/>
      <c r="U141" s="10"/>
      <c r="V141" s="7"/>
      <c r="W141" s="7"/>
      <c r="X141" s="7" t="s">
        <v>980</v>
      </c>
      <c r="Y141" s="7"/>
      <c r="Z141" s="7"/>
      <c r="AA141" s="7"/>
      <c r="AB141" s="8"/>
      <c r="AC141" s="6"/>
      <c r="AD141" s="6"/>
      <c r="AE141" s="6"/>
      <c r="AF141" s="7" t="s">
        <v>583</v>
      </c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8" t="n">
        <v>0.5</v>
      </c>
      <c r="AR141" s="9" t="n">
        <f aca="false">IFERROR(VLOOKUP($X141,Lotes!$A:$E,5,FALSE())*$U141,"")</f>
        <v>0</v>
      </c>
      <c r="AS141" s="9" t="n">
        <f aca="false">IF($L141="","",$L141*2.6)</f>
        <v>1950000</v>
      </c>
      <c r="AT141" s="9"/>
      <c r="AU141" s="9" t="n">
        <v>1920000</v>
      </c>
      <c r="AV141" s="9" t="n">
        <v>1920000</v>
      </c>
      <c r="AW141" s="9" t="n">
        <v>1920000</v>
      </c>
      <c r="AX141" s="7" t="s">
        <v>159</v>
      </c>
      <c r="AY141" s="7" t="s">
        <v>160</v>
      </c>
      <c r="AZ141" s="7"/>
      <c r="BA141" s="7" t="s">
        <v>981</v>
      </c>
      <c r="BB141" s="7" t="s">
        <v>982</v>
      </c>
      <c r="BC141" s="11" t="s">
        <v>983</v>
      </c>
      <c r="BD141" s="7" t="s">
        <v>984</v>
      </c>
      <c r="BE141" s="11" t="s">
        <v>985</v>
      </c>
    </row>
    <row r="142" customFormat="false" ht="23.85" hidden="false" customHeight="false" outlineLevel="0" collapsed="false">
      <c r="A142" s="6" t="n">
        <v>141</v>
      </c>
      <c r="B142" s="7" t="s">
        <v>648</v>
      </c>
      <c r="C142" s="7" t="s">
        <v>899</v>
      </c>
      <c r="D142" s="8" t="n">
        <v>18</v>
      </c>
      <c r="E142" s="7" t="s">
        <v>386</v>
      </c>
      <c r="F142" s="7" t="s">
        <v>311</v>
      </c>
      <c r="G142" s="6" t="n">
        <v>7</v>
      </c>
      <c r="H142" s="7" t="s">
        <v>101</v>
      </c>
      <c r="I142" s="7"/>
      <c r="J142" s="7"/>
      <c r="K142" s="7" t="s">
        <v>907</v>
      </c>
      <c r="L142" s="9" t="n">
        <v>750000</v>
      </c>
      <c r="M142" s="9"/>
      <c r="N142" s="9"/>
      <c r="O142" s="7" t="s">
        <v>108</v>
      </c>
      <c r="P142" s="7" t="s">
        <v>489</v>
      </c>
      <c r="Q142" s="7" t="s">
        <v>90</v>
      </c>
      <c r="R142" s="7" t="s">
        <v>986</v>
      </c>
      <c r="S142" s="7" t="s">
        <v>901</v>
      </c>
      <c r="T142" s="7" t="s">
        <v>93</v>
      </c>
      <c r="U142" s="10"/>
      <c r="V142" s="7"/>
      <c r="W142" s="7"/>
      <c r="X142" s="7"/>
      <c r="Y142" s="7"/>
      <c r="Z142" s="7"/>
      <c r="AA142" s="7"/>
      <c r="AB142" s="8"/>
      <c r="AC142" s="6"/>
      <c r="AD142" s="6"/>
      <c r="AE142" s="6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8"/>
      <c r="AR142" s="9" t="str">
        <f aca="false">IFERROR(VLOOKUP($X142,Lotes!$A:$E,5,FALSE())*$U142,"")</f>
        <v/>
      </c>
      <c r="AS142" s="9" t="n">
        <f aca="false">IF($L142="","",$L142*2.6)</f>
        <v>1950000</v>
      </c>
      <c r="AT142" s="9"/>
      <c r="AU142" s="9" t="n">
        <v>1920000</v>
      </c>
      <c r="AV142" s="9" t="n">
        <v>929280</v>
      </c>
      <c r="AW142" s="9" t="n">
        <v>-220</v>
      </c>
      <c r="AX142" s="7" t="s">
        <v>489</v>
      </c>
      <c r="AY142" s="7" t="s">
        <v>94</v>
      </c>
      <c r="AZ142" s="7"/>
      <c r="BA142" s="7" t="s">
        <v>987</v>
      </c>
      <c r="BB142" s="7" t="s">
        <v>988</v>
      </c>
      <c r="BC142" s="11" t="s">
        <v>989</v>
      </c>
      <c r="BD142" s="7" t="s">
        <v>98</v>
      </c>
      <c r="BE142" s="11"/>
    </row>
    <row r="143" customFormat="false" ht="23.85" hidden="false" customHeight="false" outlineLevel="0" collapsed="false">
      <c r="A143" s="6" t="n">
        <v>142</v>
      </c>
      <c r="B143" s="7" t="s">
        <v>648</v>
      </c>
      <c r="C143" s="7" t="s">
        <v>899</v>
      </c>
      <c r="D143" s="8"/>
      <c r="E143" s="7" t="s">
        <v>386</v>
      </c>
      <c r="F143" s="7" t="s">
        <v>311</v>
      </c>
      <c r="G143" s="6" t="n">
        <v>8</v>
      </c>
      <c r="H143" s="7" t="s">
        <v>101</v>
      </c>
      <c r="I143" s="7"/>
      <c r="J143" s="7"/>
      <c r="K143" s="7" t="s">
        <v>907</v>
      </c>
      <c r="L143" s="9" t="n">
        <v>750000</v>
      </c>
      <c r="M143" s="9"/>
      <c r="N143" s="9"/>
      <c r="O143" s="7" t="s">
        <v>41</v>
      </c>
      <c r="P143" s="7" t="s">
        <v>990</v>
      </c>
      <c r="Q143" s="7" t="s">
        <v>90</v>
      </c>
      <c r="R143" s="7" t="s">
        <v>991</v>
      </c>
      <c r="S143" s="7" t="s">
        <v>901</v>
      </c>
      <c r="T143" s="7"/>
      <c r="U143" s="10"/>
      <c r="V143" s="7"/>
      <c r="W143" s="7"/>
      <c r="X143" s="7"/>
      <c r="Y143" s="7"/>
      <c r="Z143" s="7"/>
      <c r="AA143" s="7"/>
      <c r="AB143" s="8"/>
      <c r="AC143" s="6"/>
      <c r="AD143" s="6"/>
      <c r="AE143" s="6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8"/>
      <c r="AR143" s="9" t="str">
        <f aca="false">IFERROR(VLOOKUP($X143,Lotes!$A:$E,5,FALSE())*$U143,"")</f>
        <v/>
      </c>
      <c r="AS143" s="9" t="n">
        <f aca="false">IF($L143="","",$L143*2.6)</f>
        <v>1950000</v>
      </c>
      <c r="AT143" s="9"/>
      <c r="AU143" s="9" t="n">
        <v>1920000</v>
      </c>
      <c r="AV143" s="9" t="n">
        <v>1920000</v>
      </c>
      <c r="AW143" s="9" t="n">
        <v>1920000</v>
      </c>
      <c r="AX143" s="7" t="s">
        <v>990</v>
      </c>
      <c r="AY143" s="7" t="s">
        <v>820</v>
      </c>
      <c r="AZ143" s="7"/>
      <c r="BA143" s="7" t="s">
        <v>992</v>
      </c>
      <c r="BB143" s="7" t="s">
        <v>993</v>
      </c>
      <c r="BC143" s="11" t="s">
        <v>994</v>
      </c>
      <c r="BD143" s="7" t="s">
        <v>662</v>
      </c>
      <c r="BE143" s="11"/>
    </row>
    <row r="144" customFormat="false" ht="46.25" hidden="false" customHeight="false" outlineLevel="0" collapsed="false">
      <c r="A144" s="6" t="n">
        <v>143</v>
      </c>
      <c r="B144" s="7" t="s">
        <v>648</v>
      </c>
      <c r="C144" s="7" t="s">
        <v>899</v>
      </c>
      <c r="D144" s="8" t="n">
        <v>18</v>
      </c>
      <c r="E144" s="7" t="s">
        <v>386</v>
      </c>
      <c r="F144" s="7" t="s">
        <v>311</v>
      </c>
      <c r="G144" s="6" t="n">
        <v>9</v>
      </c>
      <c r="H144" s="7" t="s">
        <v>101</v>
      </c>
      <c r="I144" s="7"/>
      <c r="J144" s="7"/>
      <c r="K144" s="7" t="s">
        <v>907</v>
      </c>
      <c r="L144" s="9" t="n">
        <v>750000</v>
      </c>
      <c r="M144" s="9"/>
      <c r="N144" s="9"/>
      <c r="O144" s="7" t="s">
        <v>41</v>
      </c>
      <c r="P144" s="7" t="s">
        <v>995</v>
      </c>
      <c r="Q144" s="7" t="s">
        <v>90</v>
      </c>
      <c r="R144" s="7" t="s">
        <v>996</v>
      </c>
      <c r="S144" s="7" t="s">
        <v>901</v>
      </c>
      <c r="T144" s="7" t="s">
        <v>93</v>
      </c>
      <c r="U144" s="10"/>
      <c r="V144" s="7"/>
      <c r="W144" s="7"/>
      <c r="X144" s="7"/>
      <c r="Y144" s="7"/>
      <c r="Z144" s="7"/>
      <c r="AA144" s="7"/>
      <c r="AB144" s="8"/>
      <c r="AC144" s="6"/>
      <c r="AD144" s="6"/>
      <c r="AE144" s="6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8"/>
      <c r="AR144" s="9" t="str">
        <f aca="false">IFERROR(VLOOKUP($X144,Lotes!$A:$E,5,FALSE())*$U144,"")</f>
        <v/>
      </c>
      <c r="AS144" s="9" t="n">
        <f aca="false">IF($L144="","",$L144*2.6)</f>
        <v>1950000</v>
      </c>
      <c r="AT144" s="9"/>
      <c r="AU144" s="9" t="n">
        <v>1920000</v>
      </c>
      <c r="AV144" s="9" t="n">
        <v>1200000</v>
      </c>
      <c r="AW144" s="9" t="n">
        <v>0</v>
      </c>
      <c r="AX144" s="7" t="s">
        <v>997</v>
      </c>
      <c r="AY144" s="7" t="s">
        <v>94</v>
      </c>
      <c r="AZ144" s="7"/>
      <c r="BA144" s="7" t="s">
        <v>998</v>
      </c>
      <c r="BB144" s="7" t="s">
        <v>999</v>
      </c>
      <c r="BC144" s="11" t="s">
        <v>1000</v>
      </c>
      <c r="BD144" s="7" t="s">
        <v>98</v>
      </c>
      <c r="BE144" s="11" t="s">
        <v>1001</v>
      </c>
    </row>
    <row r="145" customFormat="false" ht="23.85" hidden="false" customHeight="false" outlineLevel="0" collapsed="false">
      <c r="A145" s="6" t="n">
        <v>144</v>
      </c>
      <c r="B145" s="7" t="s">
        <v>648</v>
      </c>
      <c r="C145" s="7" t="s">
        <v>899</v>
      </c>
      <c r="D145" s="8" t="n">
        <v>18</v>
      </c>
      <c r="E145" s="7" t="s">
        <v>386</v>
      </c>
      <c r="F145" s="7" t="s">
        <v>311</v>
      </c>
      <c r="G145" s="6" t="n">
        <v>10</v>
      </c>
      <c r="H145" s="7" t="s">
        <v>101</v>
      </c>
      <c r="I145" s="7"/>
      <c r="J145" s="7"/>
      <c r="K145" s="7" t="s">
        <v>907</v>
      </c>
      <c r="L145" s="9" t="n">
        <v>750000</v>
      </c>
      <c r="M145" s="9"/>
      <c r="N145" s="9"/>
      <c r="O145" s="7" t="s">
        <v>41</v>
      </c>
      <c r="P145" s="7" t="s">
        <v>109</v>
      </c>
      <c r="Q145" s="7" t="s">
        <v>90</v>
      </c>
      <c r="R145" s="7" t="s">
        <v>1002</v>
      </c>
      <c r="S145" s="7" t="s">
        <v>901</v>
      </c>
      <c r="T145" s="7" t="s">
        <v>111</v>
      </c>
      <c r="U145" s="10"/>
      <c r="V145" s="7"/>
      <c r="W145" s="7"/>
      <c r="X145" s="7"/>
      <c r="Y145" s="7"/>
      <c r="Z145" s="7"/>
      <c r="AA145" s="7"/>
      <c r="AB145" s="8"/>
      <c r="AC145" s="6"/>
      <c r="AD145" s="6"/>
      <c r="AE145" s="6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8"/>
      <c r="AR145" s="9" t="str">
        <f aca="false">IFERROR(VLOOKUP($X145,Lotes!$A:$E,5,FALSE())*$U145,"")</f>
        <v/>
      </c>
      <c r="AS145" s="9" t="n">
        <f aca="false">IF($L145="","",$L145*2.6)</f>
        <v>1950000</v>
      </c>
      <c r="AT145" s="9"/>
      <c r="AU145" s="9" t="n">
        <v>1920000</v>
      </c>
      <c r="AV145" s="9" t="n">
        <v>1920000</v>
      </c>
      <c r="AW145" s="9" t="n">
        <v>0</v>
      </c>
      <c r="AX145" s="7" t="s">
        <v>109</v>
      </c>
      <c r="AY145" s="7" t="s">
        <v>1003</v>
      </c>
      <c r="AZ145" s="7"/>
      <c r="BA145" s="7" t="s">
        <v>1004</v>
      </c>
      <c r="BB145" s="7" t="s">
        <v>1005</v>
      </c>
      <c r="BC145" s="11" t="s">
        <v>1006</v>
      </c>
      <c r="BD145" s="7" t="s">
        <v>98</v>
      </c>
      <c r="BE145" s="11"/>
    </row>
    <row r="146" customFormat="false" ht="23.85" hidden="false" customHeight="false" outlineLevel="0" collapsed="false">
      <c r="A146" s="6" t="n">
        <v>145</v>
      </c>
      <c r="B146" s="7" t="s">
        <v>648</v>
      </c>
      <c r="C146" s="7" t="s">
        <v>899</v>
      </c>
      <c r="D146" s="8" t="n">
        <v>18</v>
      </c>
      <c r="E146" s="7" t="s">
        <v>386</v>
      </c>
      <c r="F146" s="7" t="s">
        <v>311</v>
      </c>
      <c r="G146" s="6" t="n">
        <v>11</v>
      </c>
      <c r="H146" s="7" t="s">
        <v>101</v>
      </c>
      <c r="I146" s="7"/>
      <c r="J146" s="7"/>
      <c r="K146" s="7" t="s">
        <v>907</v>
      </c>
      <c r="L146" s="9" t="n">
        <v>750000</v>
      </c>
      <c r="M146" s="9"/>
      <c r="N146" s="9"/>
      <c r="O146" s="7" t="s">
        <v>41</v>
      </c>
      <c r="P146" s="7" t="s">
        <v>344</v>
      </c>
      <c r="Q146" s="7" t="s">
        <v>90</v>
      </c>
      <c r="R146" s="7" t="s">
        <v>1007</v>
      </c>
      <c r="S146" s="7" t="s">
        <v>901</v>
      </c>
      <c r="T146" s="7" t="s">
        <v>93</v>
      </c>
      <c r="U146" s="10"/>
      <c r="V146" s="7"/>
      <c r="W146" s="7"/>
      <c r="X146" s="7"/>
      <c r="Y146" s="7"/>
      <c r="Z146" s="7"/>
      <c r="AA146" s="7"/>
      <c r="AB146" s="8"/>
      <c r="AC146" s="6"/>
      <c r="AD146" s="6"/>
      <c r="AE146" s="6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8"/>
      <c r="AR146" s="9" t="str">
        <f aca="false">IFERROR(VLOOKUP($X146,Lotes!$A:$E,5,FALSE())*$U146,"")</f>
        <v/>
      </c>
      <c r="AS146" s="9" t="n">
        <f aca="false">IF($L146="","",$L146*2.6)</f>
        <v>1950000</v>
      </c>
      <c r="AT146" s="9"/>
      <c r="AU146" s="9" t="n">
        <v>1920000</v>
      </c>
      <c r="AV146" s="9" t="n">
        <v>1506134.4</v>
      </c>
      <c r="AW146" s="9" t="n">
        <v>6134.39999999991</v>
      </c>
      <c r="AX146" s="7" t="s">
        <v>344</v>
      </c>
      <c r="AY146" s="7" t="s">
        <v>94</v>
      </c>
      <c r="AZ146" s="7"/>
      <c r="BA146" s="7" t="s">
        <v>1008</v>
      </c>
      <c r="BB146" s="7" t="s">
        <v>1009</v>
      </c>
      <c r="BC146" s="11" t="s">
        <v>1010</v>
      </c>
      <c r="BD146" s="7" t="s">
        <v>98</v>
      </c>
      <c r="BE146" s="11"/>
    </row>
    <row r="147" customFormat="false" ht="23.85" hidden="false" customHeight="false" outlineLevel="0" collapsed="false">
      <c r="A147" s="6" t="n">
        <v>146</v>
      </c>
      <c r="B147" s="7" t="s">
        <v>648</v>
      </c>
      <c r="C147" s="7" t="s">
        <v>899</v>
      </c>
      <c r="D147" s="8" t="n">
        <v>18</v>
      </c>
      <c r="E147" s="7" t="s">
        <v>386</v>
      </c>
      <c r="F147" s="7" t="s">
        <v>311</v>
      </c>
      <c r="G147" s="6" t="n">
        <v>12</v>
      </c>
      <c r="H147" s="7" t="s">
        <v>101</v>
      </c>
      <c r="I147" s="7"/>
      <c r="J147" s="7"/>
      <c r="K147" s="7" t="s">
        <v>907</v>
      </c>
      <c r="L147" s="9" t="n">
        <v>750000</v>
      </c>
      <c r="M147" s="9"/>
      <c r="N147" s="9"/>
      <c r="O147" s="7" t="s">
        <v>41</v>
      </c>
      <c r="P147" s="7" t="s">
        <v>997</v>
      </c>
      <c r="Q147" s="7" t="s">
        <v>90</v>
      </c>
      <c r="R147" s="7" t="s">
        <v>1011</v>
      </c>
      <c r="S147" s="7" t="s">
        <v>901</v>
      </c>
      <c r="T147" s="7" t="s">
        <v>93</v>
      </c>
      <c r="U147" s="10"/>
      <c r="V147" s="7"/>
      <c r="W147" s="7"/>
      <c r="X147" s="7"/>
      <c r="Y147" s="7"/>
      <c r="Z147" s="7"/>
      <c r="AA147" s="7"/>
      <c r="AB147" s="8"/>
      <c r="AC147" s="6"/>
      <c r="AD147" s="6"/>
      <c r="AE147" s="6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8"/>
      <c r="AR147" s="9" t="str">
        <f aca="false">IFERROR(VLOOKUP($X147,Lotes!$A:$E,5,FALSE())*$U147,"")</f>
        <v/>
      </c>
      <c r="AS147" s="9" t="n">
        <f aca="false">IF($L147="","",$L147*2.6)</f>
        <v>1950000</v>
      </c>
      <c r="AT147" s="9"/>
      <c r="AU147" s="9" t="n">
        <v>1920000</v>
      </c>
      <c r="AV147" s="9" t="n">
        <v>1506134.4</v>
      </c>
      <c r="AW147" s="9" t="n">
        <v>6134.39999999991</v>
      </c>
      <c r="AX147" s="7" t="s">
        <v>997</v>
      </c>
      <c r="AY147" s="7" t="s">
        <v>94</v>
      </c>
      <c r="AZ147" s="7"/>
      <c r="BA147" s="7" t="s">
        <v>1012</v>
      </c>
      <c r="BB147" s="7" t="s">
        <v>1013</v>
      </c>
      <c r="BC147" s="11" t="s">
        <v>1014</v>
      </c>
      <c r="BD147" s="7" t="s">
        <v>98</v>
      </c>
      <c r="BE147" s="11"/>
    </row>
    <row r="148" customFormat="false" ht="23.85" hidden="false" customHeight="false" outlineLevel="0" collapsed="false">
      <c r="A148" s="6" t="n">
        <v>147</v>
      </c>
      <c r="B148" s="7" t="s">
        <v>648</v>
      </c>
      <c r="C148" s="7" t="s">
        <v>899</v>
      </c>
      <c r="D148" s="8" t="n">
        <v>18</v>
      </c>
      <c r="E148" s="7" t="s">
        <v>386</v>
      </c>
      <c r="F148" s="7" t="s">
        <v>311</v>
      </c>
      <c r="G148" s="6" t="n">
        <v>13</v>
      </c>
      <c r="H148" s="7" t="s">
        <v>101</v>
      </c>
      <c r="I148" s="7"/>
      <c r="J148" s="7"/>
      <c r="K148" s="7" t="s">
        <v>907</v>
      </c>
      <c r="L148" s="9" t="n">
        <v>750000</v>
      </c>
      <c r="M148" s="9"/>
      <c r="N148" s="9"/>
      <c r="O148" s="7" t="s">
        <v>154</v>
      </c>
      <c r="P148" s="7" t="s">
        <v>89</v>
      </c>
      <c r="Q148" s="7" t="s">
        <v>711</v>
      </c>
      <c r="R148" s="7" t="s">
        <v>1015</v>
      </c>
      <c r="S148" s="7" t="s">
        <v>901</v>
      </c>
      <c r="T148" s="7"/>
      <c r="U148" s="10"/>
      <c r="V148" s="7"/>
      <c r="W148" s="7"/>
      <c r="X148" s="7"/>
      <c r="Y148" s="7"/>
      <c r="Z148" s="7"/>
      <c r="AA148" s="7"/>
      <c r="AB148" s="8"/>
      <c r="AC148" s="6"/>
      <c r="AD148" s="6"/>
      <c r="AE148" s="6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8"/>
      <c r="AR148" s="9" t="str">
        <f aca="false">IFERROR(VLOOKUP($X148,Lotes!$A:$E,5,FALSE())*$U148,"")</f>
        <v/>
      </c>
      <c r="AS148" s="9" t="n">
        <f aca="false">IF($L148="","",$L148*2.6)</f>
        <v>1950000</v>
      </c>
      <c r="AT148" s="9"/>
      <c r="AU148" s="9" t="n">
        <v>1920000</v>
      </c>
      <c r="AV148" s="9" t="n">
        <v>1920000</v>
      </c>
      <c r="AW148" s="9" t="n">
        <v>1920000</v>
      </c>
      <c r="AX148" s="7" t="s">
        <v>89</v>
      </c>
      <c r="AY148" s="7" t="s">
        <v>1016</v>
      </c>
      <c r="AZ148" s="7"/>
      <c r="BA148" s="7" t="s">
        <v>1017</v>
      </c>
      <c r="BB148" s="7" t="s">
        <v>1018</v>
      </c>
      <c r="BC148" s="11" t="s">
        <v>1019</v>
      </c>
      <c r="BD148" s="7" t="s">
        <v>98</v>
      </c>
      <c r="BE148" s="11"/>
    </row>
    <row r="149" customFormat="false" ht="23.85" hidden="false" customHeight="false" outlineLevel="0" collapsed="false">
      <c r="A149" s="6" t="n">
        <v>148</v>
      </c>
      <c r="B149" s="7" t="s">
        <v>648</v>
      </c>
      <c r="C149" s="7" t="s">
        <v>899</v>
      </c>
      <c r="D149" s="8" t="n">
        <v>18</v>
      </c>
      <c r="E149" s="7" t="s">
        <v>386</v>
      </c>
      <c r="F149" s="7" t="s">
        <v>311</v>
      </c>
      <c r="G149" s="6" t="n">
        <v>14</v>
      </c>
      <c r="H149" s="7" t="s">
        <v>101</v>
      </c>
      <c r="I149" s="7"/>
      <c r="J149" s="7"/>
      <c r="K149" s="7" t="s">
        <v>907</v>
      </c>
      <c r="L149" s="9" t="n">
        <v>750000</v>
      </c>
      <c r="M149" s="9"/>
      <c r="N149" s="9"/>
      <c r="O149" s="7" t="s">
        <v>41</v>
      </c>
      <c r="P149" s="7" t="s">
        <v>657</v>
      </c>
      <c r="Q149" s="7" t="s">
        <v>90</v>
      </c>
      <c r="R149" s="7" t="s">
        <v>1020</v>
      </c>
      <c r="S149" s="7" t="s">
        <v>901</v>
      </c>
      <c r="T149" s="7" t="s">
        <v>93</v>
      </c>
      <c r="U149" s="10"/>
      <c r="V149" s="7"/>
      <c r="W149" s="7"/>
      <c r="X149" s="7"/>
      <c r="Y149" s="7"/>
      <c r="Z149" s="7"/>
      <c r="AA149" s="7"/>
      <c r="AB149" s="8"/>
      <c r="AC149" s="6"/>
      <c r="AD149" s="6"/>
      <c r="AE149" s="6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8"/>
      <c r="AR149" s="9" t="str">
        <f aca="false">IFERROR(VLOOKUP($X149,Lotes!$A:$E,5,FALSE())*$U149,"")</f>
        <v/>
      </c>
      <c r="AS149" s="9" t="n">
        <f aca="false">IF($L149="","",$L149*2.6)</f>
        <v>1950000</v>
      </c>
      <c r="AT149" s="9"/>
      <c r="AU149" s="9" t="n">
        <v>1920000</v>
      </c>
      <c r="AV149" s="9" t="n">
        <v>1305600</v>
      </c>
      <c r="AW149" s="9" t="n">
        <v>5529</v>
      </c>
      <c r="AX149" s="7" t="s">
        <v>657</v>
      </c>
      <c r="AY149" s="7" t="s">
        <v>94</v>
      </c>
      <c r="AZ149" s="7"/>
      <c r="BA149" s="7" t="s">
        <v>1021</v>
      </c>
      <c r="BB149" s="7" t="s">
        <v>1022</v>
      </c>
      <c r="BC149" s="11" t="s">
        <v>1023</v>
      </c>
      <c r="BD149" s="7" t="s">
        <v>98</v>
      </c>
      <c r="BE149" s="11"/>
    </row>
    <row r="150" customFormat="false" ht="23.85" hidden="false" customHeight="false" outlineLevel="0" collapsed="false">
      <c r="A150" s="6" t="n">
        <v>149</v>
      </c>
      <c r="B150" s="7" t="s">
        <v>648</v>
      </c>
      <c r="C150" s="7" t="s">
        <v>899</v>
      </c>
      <c r="D150" s="8" t="n">
        <v>18</v>
      </c>
      <c r="E150" s="7" t="s">
        <v>386</v>
      </c>
      <c r="F150" s="7" t="s">
        <v>311</v>
      </c>
      <c r="G150" s="6" t="n">
        <v>15</v>
      </c>
      <c r="H150" s="7" t="s">
        <v>101</v>
      </c>
      <c r="I150" s="7"/>
      <c r="J150" s="7"/>
      <c r="K150" s="7" t="s">
        <v>907</v>
      </c>
      <c r="L150" s="9" t="n">
        <v>750000</v>
      </c>
      <c r="M150" s="9"/>
      <c r="N150" s="9"/>
      <c r="O150" s="7" t="s">
        <v>41</v>
      </c>
      <c r="P150" s="7" t="s">
        <v>657</v>
      </c>
      <c r="Q150" s="7" t="s">
        <v>90</v>
      </c>
      <c r="R150" s="7" t="s">
        <v>1024</v>
      </c>
      <c r="S150" s="7" t="s">
        <v>901</v>
      </c>
      <c r="T150" s="7" t="s">
        <v>93</v>
      </c>
      <c r="U150" s="10"/>
      <c r="V150" s="7"/>
      <c r="W150" s="7"/>
      <c r="X150" s="7"/>
      <c r="Y150" s="7"/>
      <c r="Z150" s="7"/>
      <c r="AA150" s="7"/>
      <c r="AB150" s="8"/>
      <c r="AC150" s="6"/>
      <c r="AD150" s="6"/>
      <c r="AE150" s="6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8"/>
      <c r="AR150" s="9" t="str">
        <f aca="false">IFERROR(VLOOKUP($X150,Lotes!$A:$E,5,FALSE())*$U150,"")</f>
        <v/>
      </c>
      <c r="AS150" s="9" t="n">
        <f aca="false">IF($L150="","",$L150*2.6)</f>
        <v>1950000</v>
      </c>
      <c r="AT150" s="9"/>
      <c r="AU150" s="9" t="n">
        <v>1920000</v>
      </c>
      <c r="AV150" s="9" t="n">
        <v>1305600</v>
      </c>
      <c r="AW150" s="9" t="n">
        <v>5529</v>
      </c>
      <c r="AX150" s="7" t="s">
        <v>657</v>
      </c>
      <c r="AY150" s="7" t="s">
        <v>94</v>
      </c>
      <c r="AZ150" s="7"/>
      <c r="BA150" s="7" t="s">
        <v>1025</v>
      </c>
      <c r="BB150" s="7" t="s">
        <v>1026</v>
      </c>
      <c r="BC150" s="11" t="s">
        <v>1027</v>
      </c>
      <c r="BD150" s="7" t="s">
        <v>98</v>
      </c>
      <c r="BE150" s="11"/>
    </row>
    <row r="151" customFormat="false" ht="23.85" hidden="false" customHeight="false" outlineLevel="0" collapsed="false">
      <c r="A151" s="6" t="n">
        <v>150</v>
      </c>
      <c r="B151" s="7" t="s">
        <v>648</v>
      </c>
      <c r="C151" s="7" t="s">
        <v>899</v>
      </c>
      <c r="D151" s="8"/>
      <c r="E151" s="7" t="s">
        <v>386</v>
      </c>
      <c r="F151" s="7" t="s">
        <v>311</v>
      </c>
      <c r="G151" s="6" t="n">
        <v>16</v>
      </c>
      <c r="H151" s="7" t="s">
        <v>101</v>
      </c>
      <c r="I151" s="7"/>
      <c r="J151" s="7"/>
      <c r="K151" s="7" t="s">
        <v>907</v>
      </c>
      <c r="L151" s="9" t="n">
        <v>750000</v>
      </c>
      <c r="M151" s="9"/>
      <c r="N151" s="9"/>
      <c r="O151" s="7" t="s">
        <v>41</v>
      </c>
      <c r="P151" s="7" t="s">
        <v>489</v>
      </c>
      <c r="Q151" s="7" t="s">
        <v>90</v>
      </c>
      <c r="R151" s="7" t="s">
        <v>1028</v>
      </c>
      <c r="S151" s="7" t="s">
        <v>901</v>
      </c>
      <c r="T151" s="7" t="s">
        <v>93</v>
      </c>
      <c r="U151" s="10"/>
      <c r="V151" s="7"/>
      <c r="W151" s="7"/>
      <c r="X151" s="7"/>
      <c r="Y151" s="7"/>
      <c r="Z151" s="7"/>
      <c r="AA151" s="7"/>
      <c r="AB151" s="8"/>
      <c r="AC151" s="6"/>
      <c r="AD151" s="6"/>
      <c r="AE151" s="6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8"/>
      <c r="AR151" s="9" t="str">
        <f aca="false">IFERROR(VLOOKUP($X151,Lotes!$A:$E,5,FALSE())*$U151,"")</f>
        <v/>
      </c>
      <c r="AS151" s="9" t="n">
        <f aca="false">IF($L151="","",$L151*2.6)</f>
        <v>1950000</v>
      </c>
      <c r="AT151" s="9"/>
      <c r="AU151" s="9" t="n">
        <v>1920000</v>
      </c>
      <c r="AV151" s="9" t="n">
        <v>1920000</v>
      </c>
      <c r="AW151" s="9" t="n">
        <v>0</v>
      </c>
      <c r="AX151" s="7" t="s">
        <v>489</v>
      </c>
      <c r="AY151" s="7" t="s">
        <v>94</v>
      </c>
      <c r="AZ151" s="7"/>
      <c r="BA151" s="7" t="s">
        <v>1029</v>
      </c>
      <c r="BB151" s="7" t="s">
        <v>1030</v>
      </c>
      <c r="BC151" s="11" t="s">
        <v>1031</v>
      </c>
      <c r="BD151" s="7" t="s">
        <v>662</v>
      </c>
      <c r="BE151" s="11"/>
    </row>
    <row r="152" customFormat="false" ht="46.25" hidden="false" customHeight="false" outlineLevel="0" collapsed="false">
      <c r="A152" s="6" t="n">
        <v>151</v>
      </c>
      <c r="B152" s="7" t="s">
        <v>648</v>
      </c>
      <c r="C152" s="7" t="s">
        <v>899</v>
      </c>
      <c r="D152" s="8"/>
      <c r="E152" s="7" t="s">
        <v>386</v>
      </c>
      <c r="F152" s="7" t="s">
        <v>311</v>
      </c>
      <c r="G152" s="6" t="n">
        <v>17</v>
      </c>
      <c r="H152" s="7" t="s">
        <v>101</v>
      </c>
      <c r="I152" s="7"/>
      <c r="J152" s="7"/>
      <c r="K152" s="7" t="s">
        <v>907</v>
      </c>
      <c r="L152" s="9" t="n">
        <v>750000</v>
      </c>
      <c r="M152" s="9"/>
      <c r="N152" s="9"/>
      <c r="O152" s="7" t="s">
        <v>154</v>
      </c>
      <c r="P152" s="7" t="s">
        <v>1032</v>
      </c>
      <c r="Q152" s="7" t="s">
        <v>1033</v>
      </c>
      <c r="R152" s="7" t="s">
        <v>1034</v>
      </c>
      <c r="S152" s="7" t="s">
        <v>901</v>
      </c>
      <c r="T152" s="7"/>
      <c r="U152" s="10"/>
      <c r="V152" s="7" t="s">
        <v>1032</v>
      </c>
      <c r="W152" s="7" t="s">
        <v>1033</v>
      </c>
      <c r="X152" s="7"/>
      <c r="Y152" s="7"/>
      <c r="Z152" s="7"/>
      <c r="AA152" s="7"/>
      <c r="AB152" s="8"/>
      <c r="AC152" s="6"/>
      <c r="AD152" s="6"/>
      <c r="AE152" s="6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8"/>
      <c r="AR152" s="9" t="str">
        <f aca="false">IFERROR(VLOOKUP($X152,Lotes!$A:$E,5,FALSE())*$U152,"")</f>
        <v/>
      </c>
      <c r="AS152" s="9" t="n">
        <f aca="false">IF($L152="","",$L152*2.6)</f>
        <v>1950000</v>
      </c>
      <c r="AT152" s="9"/>
      <c r="AU152" s="9" t="n">
        <v>1920000</v>
      </c>
      <c r="AV152" s="9" t="n">
        <v>1920000</v>
      </c>
      <c r="AW152" s="9" t="n">
        <v>1920000</v>
      </c>
      <c r="AX152" s="7" t="s">
        <v>159</v>
      </c>
      <c r="AY152" s="7" t="s">
        <v>160</v>
      </c>
      <c r="AZ152" s="7"/>
      <c r="BA152" s="7" t="s">
        <v>1035</v>
      </c>
      <c r="BB152" s="7" t="s">
        <v>1036</v>
      </c>
      <c r="BC152" s="11" t="s">
        <v>1037</v>
      </c>
      <c r="BD152" s="7" t="s">
        <v>1038</v>
      </c>
      <c r="BE152" s="11" t="s">
        <v>1039</v>
      </c>
    </row>
    <row r="153" customFormat="false" ht="68.65" hidden="false" customHeight="false" outlineLevel="0" collapsed="false">
      <c r="A153" s="6" t="n">
        <v>152</v>
      </c>
      <c r="B153" s="7" t="s">
        <v>832</v>
      </c>
      <c r="C153" s="7" t="s">
        <v>906</v>
      </c>
      <c r="D153" s="8"/>
      <c r="E153" s="7" t="s">
        <v>245</v>
      </c>
      <c r="F153" s="7" t="s">
        <v>351</v>
      </c>
      <c r="G153" s="6" t="n">
        <v>1</v>
      </c>
      <c r="H153" s="7" t="s">
        <v>101</v>
      </c>
      <c r="I153" s="7"/>
      <c r="J153" s="7"/>
      <c r="K153" s="7" t="s">
        <v>907</v>
      </c>
      <c r="L153" s="9" t="n">
        <v>88462</v>
      </c>
      <c r="M153" s="9"/>
      <c r="N153" s="9"/>
      <c r="O153" s="7" t="s">
        <v>41</v>
      </c>
      <c r="P153" s="7" t="s">
        <v>363</v>
      </c>
      <c r="Q153" s="7" t="s">
        <v>90</v>
      </c>
      <c r="R153" s="7" t="s">
        <v>1040</v>
      </c>
      <c r="S153" s="7" t="s">
        <v>901</v>
      </c>
      <c r="T153" s="7" t="s">
        <v>93</v>
      </c>
      <c r="U153" s="10"/>
      <c r="V153" s="7"/>
      <c r="W153" s="7"/>
      <c r="X153" s="7"/>
      <c r="Y153" s="7"/>
      <c r="Z153" s="7"/>
      <c r="AA153" s="7"/>
      <c r="AB153" s="8"/>
      <c r="AC153" s="6"/>
      <c r="AD153" s="6"/>
      <c r="AE153" s="6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8"/>
      <c r="AR153" s="9" t="str">
        <f aca="false">IFERROR(VLOOKUP($X153,Lotes!$A:$E,5,FALSE())*$U153,"")</f>
        <v/>
      </c>
      <c r="AS153" s="9" t="n">
        <f aca="false">IF($L153="","",$L153*2.6)</f>
        <v>230001.2</v>
      </c>
      <c r="AT153" s="9"/>
      <c r="AU153" s="9" t="n">
        <v>230000</v>
      </c>
      <c r="AV153" s="9" t="n">
        <v>202400</v>
      </c>
      <c r="AW153" s="9" t="n">
        <v>0</v>
      </c>
      <c r="AX153" s="7" t="s">
        <v>365</v>
      </c>
      <c r="AY153" s="7" t="s">
        <v>94</v>
      </c>
      <c r="AZ153" s="7"/>
      <c r="BA153" s="7" t="s">
        <v>1041</v>
      </c>
      <c r="BB153" s="7" t="s">
        <v>1042</v>
      </c>
      <c r="BC153" s="11" t="s">
        <v>1043</v>
      </c>
      <c r="BD153" s="7" t="s">
        <v>98</v>
      </c>
      <c r="BE153" s="11" t="s">
        <v>448</v>
      </c>
    </row>
    <row r="154" customFormat="false" ht="68.65" hidden="false" customHeight="false" outlineLevel="0" collapsed="false">
      <c r="A154" s="6" t="n">
        <v>153</v>
      </c>
      <c r="B154" s="7" t="s">
        <v>832</v>
      </c>
      <c r="C154" s="7" t="s">
        <v>906</v>
      </c>
      <c r="D154" s="8" t="n">
        <v>0.55</v>
      </c>
      <c r="E154" s="7" t="s">
        <v>245</v>
      </c>
      <c r="F154" s="7" t="s">
        <v>351</v>
      </c>
      <c r="G154" s="6" t="n">
        <v>2</v>
      </c>
      <c r="H154" s="7" t="s">
        <v>101</v>
      </c>
      <c r="I154" s="7"/>
      <c r="J154" s="7"/>
      <c r="K154" s="7" t="s">
        <v>907</v>
      </c>
      <c r="L154" s="9" t="n">
        <v>83000</v>
      </c>
      <c r="M154" s="9"/>
      <c r="N154" s="9"/>
      <c r="O154" s="7" t="s">
        <v>41</v>
      </c>
      <c r="P154" s="7" t="s">
        <v>125</v>
      </c>
      <c r="Q154" s="7" t="s">
        <v>90</v>
      </c>
      <c r="R154" s="7" t="s">
        <v>1044</v>
      </c>
      <c r="S154" s="7" t="s">
        <v>901</v>
      </c>
      <c r="T154" s="7" t="s">
        <v>93</v>
      </c>
      <c r="U154" s="10"/>
      <c r="V154" s="7"/>
      <c r="W154" s="7"/>
      <c r="X154" s="7" t="s">
        <v>674</v>
      </c>
      <c r="Y154" s="7"/>
      <c r="Z154" s="7"/>
      <c r="AA154" s="7"/>
      <c r="AB154" s="8"/>
      <c r="AC154" s="6"/>
      <c r="AD154" s="6"/>
      <c r="AE154" s="6"/>
      <c r="AF154" s="7" t="s">
        <v>583</v>
      </c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8" t="n">
        <v>0.57</v>
      </c>
      <c r="AR154" s="9" t="n">
        <f aca="false">IFERROR(VLOOKUP($X154,Lotes!$A:$E,5,FALSE())*$U154,"")</f>
        <v>0</v>
      </c>
      <c r="AS154" s="9" t="n">
        <f aca="false">IF($L154="","",$L154*2.6)</f>
        <v>215800</v>
      </c>
      <c r="AT154" s="9"/>
      <c r="AU154" s="9" t="n">
        <v>230000</v>
      </c>
      <c r="AV154" s="9" t="n">
        <v>230000</v>
      </c>
      <c r="AW154" s="9" t="n">
        <v>0</v>
      </c>
      <c r="AX154" s="7" t="s">
        <v>127</v>
      </c>
      <c r="AY154" s="7" t="s">
        <v>94</v>
      </c>
      <c r="AZ154" s="7"/>
      <c r="BA154" s="7" t="s">
        <v>1045</v>
      </c>
      <c r="BB154" s="7" t="s">
        <v>1046</v>
      </c>
      <c r="BC154" s="11" t="s">
        <v>1047</v>
      </c>
      <c r="BD154" s="7" t="s">
        <v>164</v>
      </c>
      <c r="BE154" s="11" t="s">
        <v>1048</v>
      </c>
    </row>
    <row r="155" customFormat="false" ht="15" hidden="false" customHeight="false" outlineLevel="0" collapsed="false">
      <c r="A155" s="6" t="n">
        <v>154</v>
      </c>
      <c r="B155" s="7" t="s">
        <v>1049</v>
      </c>
      <c r="C155" s="7" t="s">
        <v>1050</v>
      </c>
      <c r="D155" s="8" t="n">
        <v>5</v>
      </c>
      <c r="E155" s="7" t="s">
        <v>85</v>
      </c>
      <c r="F155" s="7" t="s">
        <v>1051</v>
      </c>
      <c r="G155" s="6" t="n">
        <v>1</v>
      </c>
      <c r="H155" s="7" t="s">
        <v>1052</v>
      </c>
      <c r="I155" s="7" t="s">
        <v>271</v>
      </c>
      <c r="J155" s="7" t="s">
        <v>1053</v>
      </c>
      <c r="K155" s="7" t="s">
        <v>1054</v>
      </c>
      <c r="L155" s="9" t="n">
        <v>50000</v>
      </c>
      <c r="M155" s="9"/>
      <c r="N155" s="9"/>
      <c r="O155" s="7" t="s">
        <v>41</v>
      </c>
      <c r="P155" s="7" t="s">
        <v>109</v>
      </c>
      <c r="Q155" s="7" t="s">
        <v>90</v>
      </c>
      <c r="R155" s="7" t="s">
        <v>1055</v>
      </c>
      <c r="S155" s="7" t="s">
        <v>1056</v>
      </c>
      <c r="T155" s="7" t="s">
        <v>111</v>
      </c>
      <c r="U155" s="10"/>
      <c r="V155" s="7"/>
      <c r="W155" s="7"/>
      <c r="X155" s="7"/>
      <c r="Y155" s="7"/>
      <c r="Z155" s="7"/>
      <c r="AA155" s="7"/>
      <c r="AB155" s="8"/>
      <c r="AC155" s="6"/>
      <c r="AD155" s="6"/>
      <c r="AE155" s="6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8"/>
      <c r="AR155" s="9" t="str">
        <f aca="false">IFERROR(VLOOKUP($X155,Lotes!$A:$E,5,FALSE())*$U155,"")</f>
        <v/>
      </c>
      <c r="AS155" s="9" t="n">
        <f aca="false">IF($L155="","",$L155*2.6)</f>
        <v>130000</v>
      </c>
      <c r="AT155" s="9"/>
      <c r="AU155" s="9" t="n">
        <v>110000</v>
      </c>
      <c r="AV155" s="9" t="n">
        <v>110000</v>
      </c>
      <c r="AW155" s="9" t="n">
        <v>110000</v>
      </c>
      <c r="AX155" s="7" t="s">
        <v>109</v>
      </c>
      <c r="AY155" s="7" t="s">
        <v>112</v>
      </c>
      <c r="AZ155" s="7"/>
      <c r="BA155" s="7" t="s">
        <v>1057</v>
      </c>
      <c r="BB155" s="7" t="s">
        <v>1058</v>
      </c>
      <c r="BC155" s="11" t="s">
        <v>1059</v>
      </c>
      <c r="BD155" s="7" t="s">
        <v>98</v>
      </c>
      <c r="BE155" s="11"/>
    </row>
    <row r="156" customFormat="false" ht="57.45" hidden="false" customHeight="false" outlineLevel="0" collapsed="false">
      <c r="A156" s="6" t="n">
        <v>155</v>
      </c>
      <c r="B156" s="7" t="s">
        <v>1049</v>
      </c>
      <c r="C156" s="7" t="s">
        <v>1060</v>
      </c>
      <c r="D156" s="8" t="n">
        <v>4.8</v>
      </c>
      <c r="E156" s="7" t="s">
        <v>85</v>
      </c>
      <c r="F156" s="7" t="s">
        <v>1051</v>
      </c>
      <c r="G156" s="6" t="n">
        <v>1</v>
      </c>
      <c r="H156" s="7" t="s">
        <v>1052</v>
      </c>
      <c r="I156" s="7" t="s">
        <v>271</v>
      </c>
      <c r="J156" s="7" t="s">
        <v>1061</v>
      </c>
      <c r="K156" s="7" t="s">
        <v>1054</v>
      </c>
      <c r="L156" s="9" t="n">
        <v>48000</v>
      </c>
      <c r="M156" s="9"/>
      <c r="N156" s="9"/>
      <c r="O156" s="7" t="s">
        <v>154</v>
      </c>
      <c r="P156" s="7" t="s">
        <v>89</v>
      </c>
      <c r="Q156" s="7" t="s">
        <v>506</v>
      </c>
      <c r="R156" s="7" t="s">
        <v>1062</v>
      </c>
      <c r="S156" s="7" t="s">
        <v>1056</v>
      </c>
      <c r="T156" s="7" t="s">
        <v>111</v>
      </c>
      <c r="U156" s="10"/>
      <c r="V156" s="7"/>
      <c r="W156" s="7"/>
      <c r="X156" s="7"/>
      <c r="Y156" s="7"/>
      <c r="Z156" s="7"/>
      <c r="AA156" s="7"/>
      <c r="AB156" s="8"/>
      <c r="AC156" s="6"/>
      <c r="AD156" s="6"/>
      <c r="AE156" s="6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8"/>
      <c r="AR156" s="9" t="str">
        <f aca="false">IFERROR(VLOOKUP($X156,Lotes!$A:$E,5,FALSE())*$U156,"")</f>
        <v/>
      </c>
      <c r="AS156" s="9" t="n">
        <f aca="false">IF($L156="","",$L156*2.6)</f>
        <v>124800</v>
      </c>
      <c r="AT156" s="9"/>
      <c r="AU156" s="9" t="n">
        <v>100800</v>
      </c>
      <c r="AV156" s="9" t="n">
        <v>100800</v>
      </c>
      <c r="AW156" s="9" t="n">
        <v>100800</v>
      </c>
      <c r="AX156" s="7" t="s">
        <v>159</v>
      </c>
      <c r="AY156" s="7" t="s">
        <v>1063</v>
      </c>
      <c r="AZ156" s="7"/>
      <c r="BA156" s="7" t="s">
        <v>1064</v>
      </c>
      <c r="BB156" s="7" t="s">
        <v>1065</v>
      </c>
      <c r="BC156" s="11" t="s">
        <v>1066</v>
      </c>
      <c r="BD156" s="7" t="s">
        <v>98</v>
      </c>
      <c r="BE156" s="11" t="s">
        <v>1067</v>
      </c>
    </row>
    <row r="157" customFormat="false" ht="15" hidden="false" customHeight="false" outlineLevel="0" collapsed="false">
      <c r="A157" s="6" t="n">
        <v>156</v>
      </c>
      <c r="B157" s="7" t="s">
        <v>1049</v>
      </c>
      <c r="C157" s="7" t="s">
        <v>1068</v>
      </c>
      <c r="D157" s="8" t="n">
        <v>5.38</v>
      </c>
      <c r="E157" s="7" t="s">
        <v>85</v>
      </c>
      <c r="F157" s="7" t="s">
        <v>1051</v>
      </c>
      <c r="G157" s="6" t="n">
        <v>1</v>
      </c>
      <c r="H157" s="7" t="s">
        <v>1052</v>
      </c>
      <c r="I157" s="7" t="s">
        <v>271</v>
      </c>
      <c r="J157" s="7" t="s">
        <v>1069</v>
      </c>
      <c r="K157" s="7" t="s">
        <v>1054</v>
      </c>
      <c r="L157" s="9" t="n">
        <v>53800</v>
      </c>
      <c r="M157" s="9"/>
      <c r="N157" s="9"/>
      <c r="O157" s="7" t="s">
        <v>41</v>
      </c>
      <c r="P157" s="7" t="s">
        <v>234</v>
      </c>
      <c r="Q157" s="7" t="s">
        <v>90</v>
      </c>
      <c r="R157" s="7" t="s">
        <v>1070</v>
      </c>
      <c r="S157" s="7" t="s">
        <v>1056</v>
      </c>
      <c r="T157" s="7" t="s">
        <v>111</v>
      </c>
      <c r="U157" s="10"/>
      <c r="V157" s="7"/>
      <c r="W157" s="7"/>
      <c r="X157" s="7"/>
      <c r="Y157" s="7"/>
      <c r="Z157" s="7"/>
      <c r="AA157" s="7"/>
      <c r="AB157" s="8"/>
      <c r="AC157" s="6"/>
      <c r="AD157" s="6"/>
      <c r="AE157" s="6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8"/>
      <c r="AR157" s="9" t="str">
        <f aca="false">IFERROR(VLOOKUP($X157,Lotes!$A:$E,5,FALSE())*$U157,"")</f>
        <v/>
      </c>
      <c r="AS157" s="9" t="n">
        <f aca="false">IF($L157="","",$L157*2.6)</f>
        <v>139880</v>
      </c>
      <c r="AT157" s="9"/>
      <c r="AU157" s="9" t="n">
        <v>112980</v>
      </c>
      <c r="AV157" s="9" t="n">
        <v>112980</v>
      </c>
      <c r="AW157" s="9" t="n">
        <v>112980</v>
      </c>
      <c r="AX157" s="7" t="s">
        <v>234</v>
      </c>
      <c r="AY157" s="7" t="s">
        <v>112</v>
      </c>
      <c r="AZ157" s="7"/>
      <c r="BA157" s="7" t="s">
        <v>1071</v>
      </c>
      <c r="BB157" s="7" t="s">
        <v>1072</v>
      </c>
      <c r="BC157" s="11" t="s">
        <v>1073</v>
      </c>
      <c r="BD157" s="7" t="s">
        <v>98</v>
      </c>
      <c r="BE157" s="11"/>
    </row>
    <row r="158" customFormat="false" ht="15" hidden="false" customHeight="false" outlineLevel="0" collapsed="false">
      <c r="A158" s="6" t="n">
        <v>157</v>
      </c>
      <c r="B158" s="7" t="s">
        <v>1049</v>
      </c>
      <c r="C158" s="7" t="s">
        <v>1074</v>
      </c>
      <c r="D158" s="8" t="n">
        <v>4</v>
      </c>
      <c r="E158" s="7" t="s">
        <v>85</v>
      </c>
      <c r="F158" s="7" t="s">
        <v>1051</v>
      </c>
      <c r="G158" s="6" t="n">
        <v>1</v>
      </c>
      <c r="H158" s="7" t="s">
        <v>1052</v>
      </c>
      <c r="I158" s="7" t="s">
        <v>271</v>
      </c>
      <c r="J158" s="7" t="s">
        <v>1075</v>
      </c>
      <c r="K158" s="7" t="s">
        <v>1054</v>
      </c>
      <c r="L158" s="9" t="n">
        <v>40000</v>
      </c>
      <c r="M158" s="9"/>
      <c r="N158" s="9"/>
      <c r="O158" s="7" t="s">
        <v>41</v>
      </c>
      <c r="P158" s="7" t="s">
        <v>344</v>
      </c>
      <c r="Q158" s="7" t="s">
        <v>90</v>
      </c>
      <c r="R158" s="7" t="s">
        <v>1076</v>
      </c>
      <c r="S158" s="7" t="s">
        <v>1056</v>
      </c>
      <c r="T158" s="7" t="s">
        <v>93</v>
      </c>
      <c r="U158" s="10"/>
      <c r="V158" s="7"/>
      <c r="W158" s="7"/>
      <c r="X158" s="7"/>
      <c r="Y158" s="7"/>
      <c r="Z158" s="7"/>
      <c r="AA158" s="7"/>
      <c r="AB158" s="8"/>
      <c r="AC158" s="6"/>
      <c r="AD158" s="6"/>
      <c r="AE158" s="6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8"/>
      <c r="AR158" s="9" t="str">
        <f aca="false">IFERROR(VLOOKUP($X158,Lotes!$A:$E,5,FALSE())*$U158,"")</f>
        <v/>
      </c>
      <c r="AS158" s="9" t="n">
        <f aca="false">IF($L158="","",$L158*2.6)</f>
        <v>104000</v>
      </c>
      <c r="AT158" s="9"/>
      <c r="AU158" s="9" t="n">
        <v>84000</v>
      </c>
      <c r="AV158" s="9" t="n">
        <v>75600</v>
      </c>
      <c r="AW158" s="9" t="n">
        <v>0</v>
      </c>
      <c r="AX158" s="7" t="s">
        <v>344</v>
      </c>
      <c r="AY158" s="7" t="s">
        <v>94</v>
      </c>
      <c r="AZ158" s="7"/>
      <c r="BA158" s="7" t="s">
        <v>1077</v>
      </c>
      <c r="BB158" s="7" t="s">
        <v>1078</v>
      </c>
      <c r="BC158" s="11" t="s">
        <v>1079</v>
      </c>
      <c r="BD158" s="7" t="s">
        <v>98</v>
      </c>
      <c r="BE158" s="11"/>
    </row>
    <row r="159" customFormat="false" ht="15" hidden="false" customHeight="false" outlineLevel="0" collapsed="false">
      <c r="A159" s="6" t="n">
        <v>158</v>
      </c>
      <c r="B159" s="7" t="s">
        <v>1049</v>
      </c>
      <c r="C159" s="7" t="s">
        <v>1080</v>
      </c>
      <c r="D159" s="8" t="n">
        <v>2.75</v>
      </c>
      <c r="E159" s="7" t="s">
        <v>85</v>
      </c>
      <c r="F159" s="7" t="s">
        <v>1051</v>
      </c>
      <c r="G159" s="6" t="n">
        <v>1</v>
      </c>
      <c r="H159" s="7" t="s">
        <v>1052</v>
      </c>
      <c r="I159" s="7" t="s">
        <v>271</v>
      </c>
      <c r="J159" s="7" t="s">
        <v>1081</v>
      </c>
      <c r="K159" s="7" t="s">
        <v>1054</v>
      </c>
      <c r="L159" s="9" t="n">
        <v>27500</v>
      </c>
      <c r="M159" s="9"/>
      <c r="N159" s="9"/>
      <c r="O159" s="7" t="s">
        <v>41</v>
      </c>
      <c r="P159" s="7" t="s">
        <v>263</v>
      </c>
      <c r="Q159" s="7" t="s">
        <v>90</v>
      </c>
      <c r="R159" s="7" t="s">
        <v>1082</v>
      </c>
      <c r="S159" s="7" t="s">
        <v>1056</v>
      </c>
      <c r="T159" s="7" t="s">
        <v>111</v>
      </c>
      <c r="U159" s="10"/>
      <c r="V159" s="7"/>
      <c r="W159" s="7"/>
      <c r="X159" s="7"/>
      <c r="Y159" s="7"/>
      <c r="Z159" s="7"/>
      <c r="AA159" s="7"/>
      <c r="AB159" s="8"/>
      <c r="AC159" s="6"/>
      <c r="AD159" s="6"/>
      <c r="AE159" s="6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8"/>
      <c r="AR159" s="9" t="str">
        <f aca="false">IFERROR(VLOOKUP($X159,Lotes!$A:$E,5,FALSE())*$U159,"")</f>
        <v/>
      </c>
      <c r="AS159" s="9" t="n">
        <f aca="false">IF($L159="","",$L159*2.6)</f>
        <v>71500</v>
      </c>
      <c r="AT159" s="9"/>
      <c r="AU159" s="9" t="n">
        <v>57750</v>
      </c>
      <c r="AV159" s="9" t="n">
        <v>57750</v>
      </c>
      <c r="AW159" s="9" t="n">
        <v>57750</v>
      </c>
      <c r="AX159" s="7" t="s">
        <v>263</v>
      </c>
      <c r="AY159" s="7" t="s">
        <v>112</v>
      </c>
      <c r="AZ159" s="7"/>
      <c r="BA159" s="7" t="s">
        <v>1083</v>
      </c>
      <c r="BB159" s="7" t="s">
        <v>1084</v>
      </c>
      <c r="BC159" s="11" t="s">
        <v>1085</v>
      </c>
      <c r="BD159" s="7" t="s">
        <v>98</v>
      </c>
      <c r="BE159" s="11"/>
    </row>
    <row r="160" customFormat="false" ht="15" hidden="false" customHeight="false" outlineLevel="0" collapsed="false">
      <c r="A160" s="6" t="n">
        <v>159</v>
      </c>
      <c r="B160" s="7" t="s">
        <v>1049</v>
      </c>
      <c r="C160" s="7" t="s">
        <v>1086</v>
      </c>
      <c r="D160" s="8" t="n">
        <v>2.3</v>
      </c>
      <c r="E160" s="7" t="s">
        <v>85</v>
      </c>
      <c r="F160" s="7" t="s">
        <v>1051</v>
      </c>
      <c r="G160" s="6" t="n">
        <v>1</v>
      </c>
      <c r="H160" s="7" t="s">
        <v>1052</v>
      </c>
      <c r="I160" s="7" t="s">
        <v>271</v>
      </c>
      <c r="J160" s="7" t="s">
        <v>1087</v>
      </c>
      <c r="K160" s="7" t="s">
        <v>1054</v>
      </c>
      <c r="L160" s="9" t="n">
        <v>23000</v>
      </c>
      <c r="M160" s="9"/>
      <c r="N160" s="9"/>
      <c r="O160" s="7" t="s">
        <v>41</v>
      </c>
      <c r="P160" s="7" t="s">
        <v>344</v>
      </c>
      <c r="Q160" s="7" t="s">
        <v>90</v>
      </c>
      <c r="R160" s="7" t="s">
        <v>1088</v>
      </c>
      <c r="S160" s="7" t="s">
        <v>1056</v>
      </c>
      <c r="T160" s="7" t="s">
        <v>93</v>
      </c>
      <c r="U160" s="10"/>
      <c r="V160" s="7"/>
      <c r="W160" s="7"/>
      <c r="X160" s="7"/>
      <c r="Y160" s="7"/>
      <c r="Z160" s="7"/>
      <c r="AA160" s="7"/>
      <c r="AB160" s="8"/>
      <c r="AC160" s="6"/>
      <c r="AD160" s="6"/>
      <c r="AE160" s="6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8"/>
      <c r="AR160" s="9" t="str">
        <f aca="false">IFERROR(VLOOKUP($X160,Lotes!$A:$E,5,FALSE())*$U160,"")</f>
        <v/>
      </c>
      <c r="AS160" s="9" t="n">
        <f aca="false">IF($L160="","",$L160*2.6)</f>
        <v>59800</v>
      </c>
      <c r="AT160" s="9"/>
      <c r="AU160" s="9" t="n">
        <v>48300</v>
      </c>
      <c r="AV160" s="9" t="n">
        <v>38640</v>
      </c>
      <c r="AW160" s="9" t="n">
        <v>0</v>
      </c>
      <c r="AX160" s="7" t="s">
        <v>344</v>
      </c>
      <c r="AY160" s="7" t="s">
        <v>94</v>
      </c>
      <c r="AZ160" s="7"/>
      <c r="BA160" s="7" t="s">
        <v>1089</v>
      </c>
      <c r="BB160" s="7" t="s">
        <v>1090</v>
      </c>
      <c r="BC160" s="11" t="s">
        <v>1091</v>
      </c>
      <c r="BD160" s="7" t="s">
        <v>98</v>
      </c>
      <c r="BE160" s="11" t="s">
        <v>763</v>
      </c>
    </row>
    <row r="161" customFormat="false" ht="15" hidden="false" customHeight="false" outlineLevel="0" collapsed="false">
      <c r="A161" s="6" t="n">
        <v>160</v>
      </c>
      <c r="B161" s="7" t="s">
        <v>1049</v>
      </c>
      <c r="C161" s="7" t="s">
        <v>1092</v>
      </c>
      <c r="D161" s="8" t="n">
        <v>4.22</v>
      </c>
      <c r="E161" s="7" t="s">
        <v>85</v>
      </c>
      <c r="F161" s="7" t="s">
        <v>1051</v>
      </c>
      <c r="G161" s="6" t="n">
        <v>1</v>
      </c>
      <c r="H161" s="7" t="s">
        <v>1052</v>
      </c>
      <c r="I161" s="7" t="s">
        <v>271</v>
      </c>
      <c r="J161" s="7" t="s">
        <v>1093</v>
      </c>
      <c r="K161" s="7" t="s">
        <v>1054</v>
      </c>
      <c r="L161" s="9" t="n">
        <v>42200</v>
      </c>
      <c r="M161" s="9"/>
      <c r="N161" s="9"/>
      <c r="O161" s="7" t="s">
        <v>41</v>
      </c>
      <c r="P161" s="7" t="s">
        <v>344</v>
      </c>
      <c r="Q161" s="7" t="s">
        <v>90</v>
      </c>
      <c r="R161" s="7" t="s">
        <v>1094</v>
      </c>
      <c r="S161" s="7" t="s">
        <v>1056</v>
      </c>
      <c r="T161" s="7" t="s">
        <v>93</v>
      </c>
      <c r="U161" s="10"/>
      <c r="V161" s="7"/>
      <c r="W161" s="7"/>
      <c r="X161" s="7"/>
      <c r="Y161" s="7"/>
      <c r="Z161" s="7"/>
      <c r="AA161" s="7"/>
      <c r="AB161" s="8"/>
      <c r="AC161" s="6"/>
      <c r="AD161" s="6"/>
      <c r="AE161" s="6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8"/>
      <c r="AR161" s="9" t="str">
        <f aca="false">IFERROR(VLOOKUP($X161,Lotes!$A:$E,5,FALSE())*$U161,"")</f>
        <v/>
      </c>
      <c r="AS161" s="9" t="n">
        <f aca="false">IF($L161="","",$L161*2.6)</f>
        <v>109720</v>
      </c>
      <c r="AT161" s="9"/>
      <c r="AU161" s="9" t="n">
        <v>88620</v>
      </c>
      <c r="AV161" s="9" t="n">
        <v>70896</v>
      </c>
      <c r="AW161" s="9" t="n">
        <v>0</v>
      </c>
      <c r="AX161" s="7" t="s">
        <v>344</v>
      </c>
      <c r="AY161" s="7" t="s">
        <v>94</v>
      </c>
      <c r="AZ161" s="7"/>
      <c r="BA161" s="7" t="s">
        <v>1095</v>
      </c>
      <c r="BB161" s="7" t="s">
        <v>1096</v>
      </c>
      <c r="BC161" s="11" t="s">
        <v>1097</v>
      </c>
      <c r="BD161" s="7" t="s">
        <v>98</v>
      </c>
      <c r="BE161" s="11"/>
    </row>
    <row r="162" customFormat="false" ht="15" hidden="false" customHeight="false" outlineLevel="0" collapsed="false">
      <c r="A162" s="6" t="n">
        <v>161</v>
      </c>
      <c r="B162" s="7" t="s">
        <v>1049</v>
      </c>
      <c r="C162" s="7" t="s">
        <v>1098</v>
      </c>
      <c r="D162" s="8" t="n">
        <v>3</v>
      </c>
      <c r="E162" s="7" t="s">
        <v>85</v>
      </c>
      <c r="F162" s="7" t="s">
        <v>1051</v>
      </c>
      <c r="G162" s="6" t="n">
        <v>1</v>
      </c>
      <c r="H162" s="7" t="s">
        <v>1052</v>
      </c>
      <c r="I162" s="7" t="s">
        <v>271</v>
      </c>
      <c r="J162" s="7" t="s">
        <v>1099</v>
      </c>
      <c r="K162" s="7" t="s">
        <v>1054</v>
      </c>
      <c r="L162" s="9" t="n">
        <v>30000</v>
      </c>
      <c r="M162" s="9"/>
      <c r="N162" s="9"/>
      <c r="O162" s="7" t="s">
        <v>41</v>
      </c>
      <c r="P162" s="7" t="s">
        <v>344</v>
      </c>
      <c r="Q162" s="7" t="s">
        <v>90</v>
      </c>
      <c r="R162" s="7" t="s">
        <v>1100</v>
      </c>
      <c r="S162" s="7" t="s">
        <v>1056</v>
      </c>
      <c r="T162" s="7" t="s">
        <v>93</v>
      </c>
      <c r="U162" s="10"/>
      <c r="V162" s="7"/>
      <c r="W162" s="7"/>
      <c r="X162" s="7"/>
      <c r="Y162" s="7"/>
      <c r="Z162" s="7"/>
      <c r="AA162" s="7"/>
      <c r="AB162" s="8"/>
      <c r="AC162" s="6"/>
      <c r="AD162" s="6"/>
      <c r="AE162" s="6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8"/>
      <c r="AR162" s="9" t="str">
        <f aca="false">IFERROR(VLOOKUP($X162,Lotes!$A:$E,5,FALSE())*$U162,"")</f>
        <v/>
      </c>
      <c r="AS162" s="9" t="n">
        <f aca="false">IF($L162="","",$L162*2.6)</f>
        <v>78000</v>
      </c>
      <c r="AT162" s="9"/>
      <c r="AU162" s="9" t="n">
        <v>63000</v>
      </c>
      <c r="AV162" s="9" t="n">
        <v>50400</v>
      </c>
      <c r="AW162" s="9" t="n">
        <v>0</v>
      </c>
      <c r="AX162" s="7" t="s">
        <v>344</v>
      </c>
      <c r="AY162" s="7" t="s">
        <v>94</v>
      </c>
      <c r="AZ162" s="7"/>
      <c r="BA162" s="7" t="s">
        <v>1101</v>
      </c>
      <c r="BB162" s="7" t="s">
        <v>1102</v>
      </c>
      <c r="BC162" s="11" t="s">
        <v>1103</v>
      </c>
      <c r="BD162" s="7" t="s">
        <v>98</v>
      </c>
      <c r="BE162" s="11"/>
    </row>
    <row r="163" customFormat="false" ht="15" hidden="false" customHeight="false" outlineLevel="0" collapsed="false">
      <c r="A163" s="6" t="n">
        <v>162</v>
      </c>
      <c r="B163" s="7" t="s">
        <v>1049</v>
      </c>
      <c r="C163" s="7" t="s">
        <v>1104</v>
      </c>
      <c r="D163" s="8" t="n">
        <v>3.68</v>
      </c>
      <c r="E163" s="7" t="s">
        <v>85</v>
      </c>
      <c r="F163" s="7" t="s">
        <v>1051</v>
      </c>
      <c r="G163" s="6" t="n">
        <v>1</v>
      </c>
      <c r="H163" s="7" t="s">
        <v>1052</v>
      </c>
      <c r="I163" s="7" t="s">
        <v>271</v>
      </c>
      <c r="J163" s="7" t="s">
        <v>1105</v>
      </c>
      <c r="K163" s="7" t="s">
        <v>1054</v>
      </c>
      <c r="L163" s="9" t="n">
        <v>36800</v>
      </c>
      <c r="M163" s="9"/>
      <c r="N163" s="9"/>
      <c r="O163" s="7" t="s">
        <v>154</v>
      </c>
      <c r="P163" s="7" t="s">
        <v>344</v>
      </c>
      <c r="Q163" s="7" t="s">
        <v>90</v>
      </c>
      <c r="R163" s="7" t="s">
        <v>1106</v>
      </c>
      <c r="S163" s="7" t="s">
        <v>1056</v>
      </c>
      <c r="T163" s="7" t="s">
        <v>93</v>
      </c>
      <c r="U163" s="10"/>
      <c r="V163" s="7"/>
      <c r="W163" s="7"/>
      <c r="X163" s="7"/>
      <c r="Y163" s="7"/>
      <c r="Z163" s="7"/>
      <c r="AA163" s="7"/>
      <c r="AB163" s="8"/>
      <c r="AC163" s="6"/>
      <c r="AD163" s="6"/>
      <c r="AE163" s="6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8"/>
      <c r="AR163" s="9" t="str">
        <f aca="false">IFERROR(VLOOKUP($X163,Lotes!$A:$E,5,FALSE())*$U163,"")</f>
        <v/>
      </c>
      <c r="AS163" s="9" t="n">
        <f aca="false">IF($L163="","",$L163*2.6)</f>
        <v>95680</v>
      </c>
      <c r="AT163" s="9"/>
      <c r="AU163" s="9" t="n">
        <v>77280</v>
      </c>
      <c r="AV163" s="9" t="n">
        <v>61824</v>
      </c>
      <c r="AW163" s="9" t="n">
        <v>0</v>
      </c>
      <c r="AX163" s="7" t="s">
        <v>344</v>
      </c>
      <c r="AY163" s="7" t="s">
        <v>94</v>
      </c>
      <c r="AZ163" s="7"/>
      <c r="BA163" s="7" t="s">
        <v>1107</v>
      </c>
      <c r="BB163" s="7" t="s">
        <v>1108</v>
      </c>
      <c r="BC163" s="11" t="s">
        <v>1109</v>
      </c>
      <c r="BD163" s="7" t="s">
        <v>98</v>
      </c>
      <c r="BE163" s="11"/>
    </row>
    <row r="164" customFormat="false" ht="15" hidden="false" customHeight="false" outlineLevel="0" collapsed="false">
      <c r="A164" s="6" t="n">
        <v>163</v>
      </c>
      <c r="B164" s="7" t="s">
        <v>1110</v>
      </c>
      <c r="C164" s="7" t="s">
        <v>1111</v>
      </c>
      <c r="D164" s="8" t="n">
        <v>18</v>
      </c>
      <c r="E164" s="7" t="s">
        <v>386</v>
      </c>
      <c r="F164" s="7" t="s">
        <v>680</v>
      </c>
      <c r="G164" s="6" t="n">
        <v>1</v>
      </c>
      <c r="H164" s="7" t="s">
        <v>352</v>
      </c>
      <c r="I164" s="7"/>
      <c r="J164" s="7"/>
      <c r="K164" s="7" t="s">
        <v>505</v>
      </c>
      <c r="L164" s="9" t="n">
        <v>2566000</v>
      </c>
      <c r="M164" s="9"/>
      <c r="N164" s="9"/>
      <c r="O164" s="7" t="s">
        <v>41</v>
      </c>
      <c r="P164" s="7" t="s">
        <v>218</v>
      </c>
      <c r="Q164" s="7" t="s">
        <v>90</v>
      </c>
      <c r="R164" s="7" t="s">
        <v>1112</v>
      </c>
      <c r="S164" s="7" t="s">
        <v>827</v>
      </c>
      <c r="T164" s="7" t="s">
        <v>93</v>
      </c>
      <c r="U164" s="10"/>
      <c r="V164" s="7"/>
      <c r="W164" s="7"/>
      <c r="X164" s="7"/>
      <c r="Y164" s="7"/>
      <c r="Z164" s="7"/>
      <c r="AA164" s="7"/>
      <c r="AB164" s="8"/>
      <c r="AC164" s="6"/>
      <c r="AD164" s="6"/>
      <c r="AE164" s="6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8"/>
      <c r="AR164" s="9" t="str">
        <f aca="false">IFERROR(VLOOKUP($X164,Lotes!$A:$E,5,FALSE())*$U164,"")</f>
        <v/>
      </c>
      <c r="AS164" s="9" t="n">
        <f aca="false">IF($L164="","",$L164*2.6)</f>
        <v>6671600</v>
      </c>
      <c r="AT164" s="9"/>
      <c r="AU164" s="9" t="n">
        <v>6404600</v>
      </c>
      <c r="AV164" s="9" t="n">
        <v>6212462</v>
      </c>
      <c r="AW164" s="9" t="n">
        <v>0</v>
      </c>
      <c r="AX164" s="7" t="s">
        <v>218</v>
      </c>
      <c r="AY164" s="7" t="s">
        <v>94</v>
      </c>
      <c r="AZ164" s="7"/>
      <c r="BA164" s="7" t="s">
        <v>1113</v>
      </c>
      <c r="BB164" s="7" t="s">
        <v>1114</v>
      </c>
      <c r="BC164" s="11" t="s">
        <v>1115</v>
      </c>
      <c r="BD164" s="7" t="s">
        <v>98</v>
      </c>
      <c r="BE164" s="11"/>
    </row>
    <row r="165" customFormat="false" ht="57.45" hidden="false" customHeight="false" outlineLevel="0" collapsed="false">
      <c r="A165" s="6" t="n">
        <v>164</v>
      </c>
      <c r="B165" s="7" t="s">
        <v>1110</v>
      </c>
      <c r="C165" s="7" t="s">
        <v>1116</v>
      </c>
      <c r="D165" s="8" t="n">
        <v>18</v>
      </c>
      <c r="E165" s="7" t="s">
        <v>386</v>
      </c>
      <c r="F165" s="7" t="s">
        <v>680</v>
      </c>
      <c r="G165" s="6" t="n">
        <v>1</v>
      </c>
      <c r="H165" s="7" t="s">
        <v>362</v>
      </c>
      <c r="I165" s="7"/>
      <c r="J165" s="7"/>
      <c r="K165" s="7" t="s">
        <v>505</v>
      </c>
      <c r="L165" s="9" t="n">
        <v>2566000</v>
      </c>
      <c r="M165" s="9"/>
      <c r="N165" s="9"/>
      <c r="O165" s="7" t="s">
        <v>508</v>
      </c>
      <c r="P165" s="7" t="s">
        <v>428</v>
      </c>
      <c r="Q165" s="7" t="s">
        <v>90</v>
      </c>
      <c r="R165" s="7" t="s">
        <v>1117</v>
      </c>
      <c r="S165" s="7" t="s">
        <v>827</v>
      </c>
      <c r="T165" s="7"/>
      <c r="U165" s="10"/>
      <c r="V165" s="7"/>
      <c r="W165" s="7"/>
      <c r="X165" s="7"/>
      <c r="Y165" s="7"/>
      <c r="Z165" s="7"/>
      <c r="AA165" s="7"/>
      <c r="AB165" s="8"/>
      <c r="AC165" s="6"/>
      <c r="AD165" s="6"/>
      <c r="AE165" s="6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8"/>
      <c r="AR165" s="9" t="str">
        <f aca="false">IFERROR(VLOOKUP($X165,Lotes!$A:$E,5,FALSE())*$U165,"")</f>
        <v/>
      </c>
      <c r="AS165" s="9" t="n">
        <f aca="false">IF($L165="","",$L165*2.6)</f>
        <v>6671600</v>
      </c>
      <c r="AT165" s="9"/>
      <c r="AU165" s="9" t="n">
        <v>6320400</v>
      </c>
      <c r="AV165" s="9" t="n">
        <v>6320400</v>
      </c>
      <c r="AW165" s="9" t="n">
        <v>0</v>
      </c>
      <c r="AX165" s="7" t="s">
        <v>109</v>
      </c>
      <c r="AY165" s="7" t="s">
        <v>853</v>
      </c>
      <c r="AZ165" s="7"/>
      <c r="BA165" s="7" t="s">
        <v>1118</v>
      </c>
      <c r="BB165" s="7" t="s">
        <v>1119</v>
      </c>
      <c r="BC165" s="11" t="s">
        <v>1120</v>
      </c>
      <c r="BD165" s="7" t="s">
        <v>98</v>
      </c>
      <c r="BE165" s="11" t="s">
        <v>857</v>
      </c>
    </row>
    <row r="166" customFormat="false" ht="57.45" hidden="false" customHeight="false" outlineLevel="0" collapsed="false">
      <c r="A166" s="6" t="n">
        <v>165</v>
      </c>
      <c r="B166" s="7" t="s">
        <v>1110</v>
      </c>
      <c r="C166" s="7" t="s">
        <v>1121</v>
      </c>
      <c r="D166" s="8" t="n">
        <v>18</v>
      </c>
      <c r="E166" s="7" t="s">
        <v>386</v>
      </c>
      <c r="F166" s="7" t="s">
        <v>680</v>
      </c>
      <c r="G166" s="6" t="n">
        <v>1</v>
      </c>
      <c r="H166" s="7" t="s">
        <v>362</v>
      </c>
      <c r="I166" s="7"/>
      <c r="J166" s="7"/>
      <c r="K166" s="7" t="s">
        <v>505</v>
      </c>
      <c r="L166" s="9" t="n">
        <v>2566000</v>
      </c>
      <c r="M166" s="9"/>
      <c r="N166" s="9"/>
      <c r="O166" s="7" t="s">
        <v>508</v>
      </c>
      <c r="P166" s="7" t="s">
        <v>428</v>
      </c>
      <c r="Q166" s="7" t="s">
        <v>90</v>
      </c>
      <c r="R166" s="7" t="s">
        <v>1122</v>
      </c>
      <c r="S166" s="7" t="s">
        <v>827</v>
      </c>
      <c r="T166" s="7"/>
      <c r="U166" s="10"/>
      <c r="V166" s="7"/>
      <c r="W166" s="7"/>
      <c r="X166" s="7"/>
      <c r="Y166" s="7"/>
      <c r="Z166" s="7"/>
      <c r="AA166" s="7"/>
      <c r="AB166" s="8"/>
      <c r="AC166" s="6"/>
      <c r="AD166" s="6"/>
      <c r="AE166" s="6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8"/>
      <c r="AR166" s="9" t="str">
        <f aca="false">IFERROR(VLOOKUP($X166,Lotes!$A:$E,5,FALSE())*$U166,"")</f>
        <v/>
      </c>
      <c r="AS166" s="9" t="n">
        <f aca="false">IF($L166="","",$L166*2.6)</f>
        <v>6671600</v>
      </c>
      <c r="AT166" s="9"/>
      <c r="AU166" s="9" t="n">
        <v>6290000</v>
      </c>
      <c r="AV166" s="9" t="n">
        <v>6290000</v>
      </c>
      <c r="AW166" s="9" t="n">
        <v>0</v>
      </c>
      <c r="AX166" s="7" t="s">
        <v>109</v>
      </c>
      <c r="AY166" s="7" t="s">
        <v>853</v>
      </c>
      <c r="AZ166" s="7"/>
      <c r="BA166" s="7" t="s">
        <v>1123</v>
      </c>
      <c r="BB166" s="7" t="s">
        <v>1124</v>
      </c>
      <c r="BC166" s="11" t="s">
        <v>1125</v>
      </c>
      <c r="BD166" s="7" t="s">
        <v>98</v>
      </c>
      <c r="BE166" s="11" t="s">
        <v>857</v>
      </c>
    </row>
    <row r="167" customFormat="false" ht="57.45" hidden="false" customHeight="false" outlineLevel="0" collapsed="false">
      <c r="A167" s="6" t="n">
        <v>166</v>
      </c>
      <c r="B167" s="7" t="s">
        <v>1126</v>
      </c>
      <c r="C167" s="7" t="s">
        <v>1127</v>
      </c>
      <c r="D167" s="8" t="n">
        <v>1.75</v>
      </c>
      <c r="E167" s="7" t="s">
        <v>386</v>
      </c>
      <c r="F167" s="7" t="s">
        <v>680</v>
      </c>
      <c r="G167" s="6" t="n">
        <v>1</v>
      </c>
      <c r="H167" s="7"/>
      <c r="I167" s="7"/>
      <c r="J167" s="7"/>
      <c r="K167" s="7" t="s">
        <v>88</v>
      </c>
      <c r="L167" s="9" t="n">
        <v>812612</v>
      </c>
      <c r="M167" s="9"/>
      <c r="N167" s="9"/>
      <c r="O167" s="7" t="s">
        <v>108</v>
      </c>
      <c r="P167" s="7" t="s">
        <v>109</v>
      </c>
      <c r="Q167" s="7" t="s">
        <v>1128</v>
      </c>
      <c r="R167" s="7" t="s">
        <v>1129</v>
      </c>
      <c r="S167" s="7" t="s">
        <v>356</v>
      </c>
      <c r="T167" s="7"/>
      <c r="U167" s="10"/>
      <c r="V167" s="7"/>
      <c r="W167" s="7"/>
      <c r="X167" s="7"/>
      <c r="Y167" s="7"/>
      <c r="Z167" s="7"/>
      <c r="AA167" s="7"/>
      <c r="AB167" s="8"/>
      <c r="AC167" s="6"/>
      <c r="AD167" s="6"/>
      <c r="AE167" s="6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8"/>
      <c r="AR167" s="9" t="str">
        <f aca="false">IFERROR(VLOOKUP($X167,Lotes!$A:$E,5,FALSE())*$U167,"")</f>
        <v/>
      </c>
      <c r="AS167" s="9" t="n">
        <f aca="false">IF($L167="","",$L167*2.6)</f>
        <v>2112791.2</v>
      </c>
      <c r="AT167" s="9"/>
      <c r="AU167" s="9" t="n">
        <v>1950269</v>
      </c>
      <c r="AV167" s="9" t="n">
        <v>1950269</v>
      </c>
      <c r="AW167" s="9" t="n">
        <v>1950269</v>
      </c>
      <c r="AX167" s="7" t="s">
        <v>159</v>
      </c>
      <c r="AY167" s="7" t="s">
        <v>160</v>
      </c>
      <c r="AZ167" s="7"/>
      <c r="BA167" s="7" t="s">
        <v>1130</v>
      </c>
      <c r="BB167" s="7" t="s">
        <v>1131</v>
      </c>
      <c r="BC167" s="11" t="s">
        <v>1132</v>
      </c>
      <c r="BD167" s="7" t="s">
        <v>98</v>
      </c>
      <c r="BE167" s="11" t="s">
        <v>623</v>
      </c>
    </row>
    <row r="168" customFormat="false" ht="57.45" hidden="false" customHeight="false" outlineLevel="0" collapsed="false">
      <c r="A168" s="6" t="n">
        <v>167</v>
      </c>
      <c r="B168" s="7" t="s">
        <v>360</v>
      </c>
      <c r="C168" s="7" t="s">
        <v>361</v>
      </c>
      <c r="D168" s="8"/>
      <c r="E168" s="7" t="s">
        <v>245</v>
      </c>
      <c r="F168" s="7" t="s">
        <v>351</v>
      </c>
      <c r="G168" s="6" t="n">
        <v>1</v>
      </c>
      <c r="H168" s="7" t="s">
        <v>362</v>
      </c>
      <c r="I168" s="7"/>
      <c r="J168" s="7"/>
      <c r="K168" s="7" t="s">
        <v>353</v>
      </c>
      <c r="L168" s="9" t="n">
        <v>380000</v>
      </c>
      <c r="M168" s="9"/>
      <c r="N168" s="9"/>
      <c r="O168" s="7" t="s">
        <v>817</v>
      </c>
      <c r="P168" s="7" t="s">
        <v>109</v>
      </c>
      <c r="Q168" s="7" t="s">
        <v>506</v>
      </c>
      <c r="R168" s="7" t="s">
        <v>1133</v>
      </c>
      <c r="S168" s="7" t="s">
        <v>356</v>
      </c>
      <c r="T168" s="7" t="s">
        <v>93</v>
      </c>
      <c r="U168" s="10"/>
      <c r="V168" s="7"/>
      <c r="W168" s="7"/>
      <c r="X168" s="7"/>
      <c r="Y168" s="7"/>
      <c r="Z168" s="7"/>
      <c r="AA168" s="7"/>
      <c r="AB168" s="8"/>
      <c r="AC168" s="6"/>
      <c r="AD168" s="6"/>
      <c r="AE168" s="6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8"/>
      <c r="AR168" s="9" t="str">
        <f aca="false">IFERROR(VLOOKUP($X168,Lotes!$A:$E,5,FALSE())*$U168,"")</f>
        <v/>
      </c>
      <c r="AS168" s="9" t="n">
        <f aca="false">IF($L168="","",$L168*2.6)</f>
        <v>988000</v>
      </c>
      <c r="AT168" s="9"/>
      <c r="AU168" s="9" t="n">
        <v>570000</v>
      </c>
      <c r="AV168" s="9" t="n">
        <v>570000</v>
      </c>
      <c r="AW168" s="9" t="n">
        <v>0</v>
      </c>
      <c r="AX168" s="7" t="s">
        <v>428</v>
      </c>
      <c r="AY168" s="7" t="s">
        <v>506</v>
      </c>
      <c r="AZ168" s="7"/>
      <c r="BA168" s="7" t="s">
        <v>1134</v>
      </c>
      <c r="BB168" s="7" t="s">
        <v>1135</v>
      </c>
      <c r="BC168" s="11" t="s">
        <v>1136</v>
      </c>
      <c r="BD168" s="7" t="s">
        <v>98</v>
      </c>
      <c r="BE168" s="11" t="s">
        <v>1137</v>
      </c>
    </row>
    <row r="169" customFormat="false" ht="46.25" hidden="false" customHeight="false" outlineLevel="0" collapsed="false">
      <c r="A169" s="6" t="n">
        <v>168</v>
      </c>
      <c r="B169" s="7" t="s">
        <v>1126</v>
      </c>
      <c r="C169" s="7" t="s">
        <v>1138</v>
      </c>
      <c r="D169" s="8" t="n">
        <v>0.65</v>
      </c>
      <c r="E169" s="7" t="s">
        <v>172</v>
      </c>
      <c r="F169" s="7" t="s">
        <v>86</v>
      </c>
      <c r="G169" s="6" t="n">
        <v>1</v>
      </c>
      <c r="H169" s="7" t="s">
        <v>101</v>
      </c>
      <c r="I169" s="7" t="s">
        <v>303</v>
      </c>
      <c r="J169" s="7" t="s">
        <v>1139</v>
      </c>
      <c r="K169" s="7" t="s">
        <v>88</v>
      </c>
      <c r="L169" s="9" t="n">
        <v>335140</v>
      </c>
      <c r="M169" s="9"/>
      <c r="N169" s="9"/>
      <c r="O169" s="7" t="s">
        <v>41</v>
      </c>
      <c r="P169" s="7" t="s">
        <v>159</v>
      </c>
      <c r="Q169" s="7" t="s">
        <v>90</v>
      </c>
      <c r="R169" s="7" t="s">
        <v>1140</v>
      </c>
      <c r="S169" s="7" t="s">
        <v>651</v>
      </c>
      <c r="T169" s="7" t="s">
        <v>208</v>
      </c>
      <c r="U169" s="10"/>
      <c r="V169" s="7"/>
      <c r="W169" s="7"/>
      <c r="X169" s="7"/>
      <c r="Y169" s="7"/>
      <c r="Z169" s="7"/>
      <c r="AA169" s="7"/>
      <c r="AB169" s="8"/>
      <c r="AC169" s="6"/>
      <c r="AD169" s="6"/>
      <c r="AE169" s="6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8"/>
      <c r="AR169" s="9" t="str">
        <f aca="false">IFERROR(VLOOKUP($X169,Lotes!$A:$E,5,FALSE())*$U169,"")</f>
        <v/>
      </c>
      <c r="AS169" s="9" t="n">
        <f aca="false">IF($L169="","",$L169*2.6)</f>
        <v>871364</v>
      </c>
      <c r="AT169" s="9"/>
      <c r="AU169" s="9" t="n">
        <v>670280</v>
      </c>
      <c r="AV169" s="9" t="n">
        <v>536224</v>
      </c>
      <c r="AW169" s="9" t="n">
        <v>0</v>
      </c>
      <c r="AX169" s="7" t="s">
        <v>344</v>
      </c>
      <c r="AY169" s="7" t="s">
        <v>94</v>
      </c>
      <c r="AZ169" s="7"/>
      <c r="BA169" s="7" t="s">
        <v>1141</v>
      </c>
      <c r="BB169" s="7" t="s">
        <v>1142</v>
      </c>
      <c r="BC169" s="11" t="s">
        <v>1143</v>
      </c>
      <c r="BD169" s="7" t="s">
        <v>98</v>
      </c>
      <c r="BE169" s="11" t="s">
        <v>1144</v>
      </c>
    </row>
    <row r="170" customFormat="false" ht="23.85" hidden="false" customHeight="false" outlineLevel="0" collapsed="false">
      <c r="A170" s="6" t="n">
        <v>169</v>
      </c>
      <c r="B170" s="7" t="s">
        <v>1145</v>
      </c>
      <c r="C170" s="7" t="s">
        <v>1146</v>
      </c>
      <c r="D170" s="8"/>
      <c r="E170" s="7" t="s">
        <v>172</v>
      </c>
      <c r="F170" s="7" t="s">
        <v>1147</v>
      </c>
      <c r="G170" s="6" t="n">
        <v>1</v>
      </c>
      <c r="H170" s="7"/>
      <c r="I170" s="7"/>
      <c r="J170" s="7"/>
      <c r="K170" s="7" t="s">
        <v>1148</v>
      </c>
      <c r="L170" s="9" t="n">
        <v>226923</v>
      </c>
      <c r="M170" s="9"/>
      <c r="N170" s="9"/>
      <c r="O170" s="7" t="s">
        <v>108</v>
      </c>
      <c r="P170" s="7" t="s">
        <v>489</v>
      </c>
      <c r="Q170" s="7" t="s">
        <v>90</v>
      </c>
      <c r="R170" s="7" t="s">
        <v>1149</v>
      </c>
      <c r="S170" s="7" t="s">
        <v>356</v>
      </c>
      <c r="T170" s="7" t="s">
        <v>93</v>
      </c>
      <c r="U170" s="10"/>
      <c r="V170" s="7"/>
      <c r="W170" s="7"/>
      <c r="X170" s="7"/>
      <c r="Y170" s="7"/>
      <c r="Z170" s="7"/>
      <c r="AA170" s="7"/>
      <c r="AB170" s="8"/>
      <c r="AC170" s="6"/>
      <c r="AD170" s="6"/>
      <c r="AE170" s="6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8"/>
      <c r="AR170" s="9" t="str">
        <f aca="false">IFERROR(VLOOKUP($X170,Lotes!$A:$E,5,FALSE())*$U170,"")</f>
        <v/>
      </c>
      <c r="AS170" s="9" t="n">
        <f aca="false">IF($L170="","",$L170*2.6)</f>
        <v>589999.8</v>
      </c>
      <c r="AT170" s="9"/>
      <c r="AU170" s="9" t="n">
        <v>590000</v>
      </c>
      <c r="AV170" s="9" t="n">
        <v>472000</v>
      </c>
      <c r="AW170" s="9" t="n">
        <v>0</v>
      </c>
      <c r="AX170" s="7" t="s">
        <v>489</v>
      </c>
      <c r="AY170" s="7" t="s">
        <v>94</v>
      </c>
      <c r="AZ170" s="7"/>
      <c r="BA170" s="7" t="s">
        <v>1150</v>
      </c>
      <c r="BB170" s="7" t="s">
        <v>1151</v>
      </c>
      <c r="BC170" s="11" t="s">
        <v>1152</v>
      </c>
      <c r="BD170" s="7" t="s">
        <v>98</v>
      </c>
      <c r="BE170" s="11" t="s">
        <v>99</v>
      </c>
    </row>
    <row r="171" customFormat="false" ht="91" hidden="false" customHeight="false" outlineLevel="0" collapsed="false">
      <c r="A171" s="6" t="n">
        <v>170</v>
      </c>
      <c r="B171" s="7" t="s">
        <v>1126</v>
      </c>
      <c r="C171" s="7" t="s">
        <v>1153</v>
      </c>
      <c r="D171" s="8" t="n">
        <v>0.28</v>
      </c>
      <c r="E171" s="7" t="s">
        <v>403</v>
      </c>
      <c r="F171" s="7" t="s">
        <v>680</v>
      </c>
      <c r="G171" s="6" t="n">
        <v>2</v>
      </c>
      <c r="H171" s="7" t="s">
        <v>200</v>
      </c>
      <c r="I171" s="7" t="s">
        <v>271</v>
      </c>
      <c r="J171" s="7" t="s">
        <v>1154</v>
      </c>
      <c r="K171" s="7" t="s">
        <v>88</v>
      </c>
      <c r="L171" s="9" t="n">
        <v>906154</v>
      </c>
      <c r="M171" s="9"/>
      <c r="N171" s="9"/>
      <c r="O171" s="7" t="s">
        <v>154</v>
      </c>
      <c r="P171" s="7" t="s">
        <v>89</v>
      </c>
      <c r="Q171" s="7" t="s">
        <v>155</v>
      </c>
      <c r="R171" s="7" t="s">
        <v>1155</v>
      </c>
      <c r="S171" s="7" t="s">
        <v>356</v>
      </c>
      <c r="T171" s="7"/>
      <c r="U171" s="10"/>
      <c r="V171" s="7"/>
      <c r="W171" s="7"/>
      <c r="X171" s="7" t="s">
        <v>1156</v>
      </c>
      <c r="Y171" s="7"/>
      <c r="Z171" s="7"/>
      <c r="AA171" s="7"/>
      <c r="AB171" s="8"/>
      <c r="AC171" s="6"/>
      <c r="AD171" s="6"/>
      <c r="AE171" s="6"/>
      <c r="AF171" s="7" t="s">
        <v>583</v>
      </c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8"/>
      <c r="AR171" s="9" t="n">
        <f aca="false">IFERROR(VLOOKUP($X171,Lotes!$A:$E,5,FALSE())*$U171,"")</f>
        <v>0</v>
      </c>
      <c r="AS171" s="9" t="n">
        <f aca="false">IF($L171="","",$L171*2.6)</f>
        <v>2356000.4</v>
      </c>
      <c r="AT171" s="9"/>
      <c r="AU171" s="9" t="n">
        <v>2356000</v>
      </c>
      <c r="AV171" s="9" t="n">
        <v>2356000</v>
      </c>
      <c r="AW171" s="9" t="n">
        <v>2356000</v>
      </c>
      <c r="AX171" s="7" t="s">
        <v>159</v>
      </c>
      <c r="AY171" s="7" t="s">
        <v>160</v>
      </c>
      <c r="AZ171" s="7"/>
      <c r="BA171" s="7" t="s">
        <v>1157</v>
      </c>
      <c r="BB171" s="7" t="s">
        <v>1158</v>
      </c>
      <c r="BC171" s="11" t="s">
        <v>1159</v>
      </c>
      <c r="BD171" s="7" t="s">
        <v>164</v>
      </c>
      <c r="BE171" s="11" t="s">
        <v>1160</v>
      </c>
    </row>
    <row r="172" customFormat="false" ht="68.65" hidden="false" customHeight="false" outlineLevel="0" collapsed="false">
      <c r="A172" s="6" t="n">
        <v>171</v>
      </c>
      <c r="B172" s="7" t="s">
        <v>1126</v>
      </c>
      <c r="C172" s="7" t="s">
        <v>1161</v>
      </c>
      <c r="D172" s="8" t="n">
        <v>0.44</v>
      </c>
      <c r="E172" s="7" t="s">
        <v>386</v>
      </c>
      <c r="F172" s="7" t="s">
        <v>680</v>
      </c>
      <c r="G172" s="6" t="n">
        <v>2</v>
      </c>
      <c r="H172" s="7" t="s">
        <v>200</v>
      </c>
      <c r="I172" s="7" t="s">
        <v>271</v>
      </c>
      <c r="J172" s="7" t="s">
        <v>1162</v>
      </c>
      <c r="K172" s="7" t="s">
        <v>88</v>
      </c>
      <c r="L172" s="9" t="n">
        <v>1025000</v>
      </c>
      <c r="M172" s="9"/>
      <c r="N172" s="9"/>
      <c r="O172" s="7" t="s">
        <v>154</v>
      </c>
      <c r="P172" s="7" t="s">
        <v>1032</v>
      </c>
      <c r="Q172" s="7" t="s">
        <v>1033</v>
      </c>
      <c r="R172" s="7" t="s">
        <v>1163</v>
      </c>
      <c r="S172" s="7" t="s">
        <v>1164</v>
      </c>
      <c r="T172" s="7"/>
      <c r="U172" s="10"/>
      <c r="V172" s="7" t="s">
        <v>1032</v>
      </c>
      <c r="W172" s="7" t="s">
        <v>1033</v>
      </c>
      <c r="X172" s="7"/>
      <c r="Y172" s="7"/>
      <c r="Z172" s="7"/>
      <c r="AA172" s="7"/>
      <c r="AB172" s="8"/>
      <c r="AC172" s="6"/>
      <c r="AD172" s="6"/>
      <c r="AE172" s="6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8"/>
      <c r="AR172" s="9" t="str">
        <f aca="false">IFERROR(VLOOKUP($X172,Lotes!$A:$E,5,FALSE())*$U172,"")</f>
        <v/>
      </c>
      <c r="AS172" s="9" t="n">
        <f aca="false">IF($L172="","",$L172*2.6)</f>
        <v>2665000</v>
      </c>
      <c r="AT172" s="9"/>
      <c r="AU172" s="9" t="n">
        <v>2665000</v>
      </c>
      <c r="AV172" s="9" t="n">
        <v>2665000</v>
      </c>
      <c r="AW172" s="9" t="n">
        <v>2665000</v>
      </c>
      <c r="AX172" s="7" t="s">
        <v>159</v>
      </c>
      <c r="AY172" s="7" t="s">
        <v>160</v>
      </c>
      <c r="AZ172" s="7"/>
      <c r="BA172" s="7" t="s">
        <v>1165</v>
      </c>
      <c r="BB172" s="7" t="s">
        <v>1166</v>
      </c>
      <c r="BC172" s="11" t="s">
        <v>1167</v>
      </c>
      <c r="BD172" s="7" t="s">
        <v>1038</v>
      </c>
      <c r="BE172" s="11" t="s">
        <v>1168</v>
      </c>
    </row>
    <row r="173" customFormat="false" ht="68.65" hidden="false" customHeight="false" outlineLevel="0" collapsed="false">
      <c r="A173" s="6" t="n">
        <v>172</v>
      </c>
      <c r="B173" s="7" t="s">
        <v>1169</v>
      </c>
      <c r="C173" s="7" t="s">
        <v>1170</v>
      </c>
      <c r="D173" s="8" t="n">
        <v>0.65</v>
      </c>
      <c r="E173" s="7" t="s">
        <v>85</v>
      </c>
      <c r="F173" s="7" t="s">
        <v>86</v>
      </c>
      <c r="G173" s="6" t="n">
        <v>1</v>
      </c>
      <c r="H173" s="7" t="s">
        <v>158</v>
      </c>
      <c r="I173" s="7" t="s">
        <v>271</v>
      </c>
      <c r="J173" s="7" t="s">
        <v>1171</v>
      </c>
      <c r="K173" s="7" t="s">
        <v>88</v>
      </c>
      <c r="L173" s="9" t="n">
        <v>583000</v>
      </c>
      <c r="M173" s="9"/>
      <c r="N173" s="9"/>
      <c r="O173" s="7" t="s">
        <v>154</v>
      </c>
      <c r="P173" s="7" t="s">
        <v>89</v>
      </c>
      <c r="Q173" s="7" t="s">
        <v>155</v>
      </c>
      <c r="R173" s="7" t="s">
        <v>1172</v>
      </c>
      <c r="S173" s="7" t="s">
        <v>1173</v>
      </c>
      <c r="T173" s="7"/>
      <c r="U173" s="10"/>
      <c r="V173" s="7"/>
      <c r="W173" s="7"/>
      <c r="X173" s="7" t="s">
        <v>1174</v>
      </c>
      <c r="Y173" s="7"/>
      <c r="Z173" s="7"/>
      <c r="AA173" s="7"/>
      <c r="AB173" s="8"/>
      <c r="AC173" s="6"/>
      <c r="AD173" s="6"/>
      <c r="AE173" s="6"/>
      <c r="AF173" s="7" t="s">
        <v>158</v>
      </c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8"/>
      <c r="AR173" s="9" t="n">
        <f aca="false">IFERROR(VLOOKUP($X173,Lotes!$A:$E,5,FALSE())*$U173,"")</f>
        <v>0</v>
      </c>
      <c r="AS173" s="9" t="n">
        <f aca="false">IF($L173="","",$L173*2.6)</f>
        <v>1515800</v>
      </c>
      <c r="AT173" s="9"/>
      <c r="AU173" s="9" t="n">
        <v>702360</v>
      </c>
      <c r="AV173" s="9" t="n">
        <v>702360</v>
      </c>
      <c r="AW173" s="9" t="n">
        <v>702360</v>
      </c>
      <c r="AX173" s="7" t="s">
        <v>159</v>
      </c>
      <c r="AY173" s="7" t="s">
        <v>160</v>
      </c>
      <c r="AZ173" s="7"/>
      <c r="BA173" s="7" t="s">
        <v>1175</v>
      </c>
      <c r="BB173" s="7" t="s">
        <v>1176</v>
      </c>
      <c r="BC173" s="11" t="s">
        <v>1177</v>
      </c>
      <c r="BD173" s="7" t="s">
        <v>164</v>
      </c>
      <c r="BE173" s="11" t="s">
        <v>1178</v>
      </c>
    </row>
    <row r="174" customFormat="false" ht="15" hidden="false" customHeight="false" outlineLevel="0" collapsed="false">
      <c r="A174" s="6" t="n">
        <v>173</v>
      </c>
      <c r="B174" s="7" t="s">
        <v>1169</v>
      </c>
      <c r="C174" s="7" t="s">
        <v>1179</v>
      </c>
      <c r="D174" s="8" t="n">
        <v>1.26</v>
      </c>
      <c r="E174" s="7" t="s">
        <v>85</v>
      </c>
      <c r="F174" s="7" t="s">
        <v>86</v>
      </c>
      <c r="G174" s="6" t="n">
        <v>1</v>
      </c>
      <c r="H174" s="7" t="s">
        <v>158</v>
      </c>
      <c r="I174" s="7" t="s">
        <v>271</v>
      </c>
      <c r="J174" s="7" t="s">
        <v>1180</v>
      </c>
      <c r="K174" s="7" t="s">
        <v>88</v>
      </c>
      <c r="L174" s="9" t="n">
        <v>1135000</v>
      </c>
      <c r="M174" s="9"/>
      <c r="N174" s="9"/>
      <c r="O174" s="7" t="s">
        <v>41</v>
      </c>
      <c r="P174" s="7" t="s">
        <v>89</v>
      </c>
      <c r="Q174" s="7" t="s">
        <v>155</v>
      </c>
      <c r="R174" s="7" t="s">
        <v>1181</v>
      </c>
      <c r="S174" s="7" t="s">
        <v>1173</v>
      </c>
      <c r="T174" s="7"/>
      <c r="U174" s="10"/>
      <c r="V174" s="7"/>
      <c r="W174" s="7"/>
      <c r="X174" s="7"/>
      <c r="Y174" s="7"/>
      <c r="Z174" s="7"/>
      <c r="AA174" s="7"/>
      <c r="AB174" s="8"/>
      <c r="AC174" s="6"/>
      <c r="AD174" s="6"/>
      <c r="AE174" s="6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8"/>
      <c r="AR174" s="9" t="str">
        <f aca="false">IFERROR(VLOOKUP($X174,Lotes!$A:$E,5,FALSE())*$U174,"")</f>
        <v/>
      </c>
      <c r="AS174" s="9" t="n">
        <f aca="false">IF($L174="","",$L174*2.6)</f>
        <v>2951000</v>
      </c>
      <c r="AT174" s="9"/>
      <c r="AU174" s="9" t="n">
        <v>1362000</v>
      </c>
      <c r="AV174" s="9" t="n">
        <v>1362000</v>
      </c>
      <c r="AW174" s="9" t="n">
        <v>1362000</v>
      </c>
      <c r="AX174" s="7" t="s">
        <v>89</v>
      </c>
      <c r="AY174" s="7" t="s">
        <v>112</v>
      </c>
      <c r="AZ174" s="7"/>
      <c r="BA174" s="7" t="s">
        <v>1182</v>
      </c>
      <c r="BB174" s="7" t="s">
        <v>1183</v>
      </c>
      <c r="BC174" s="11" t="s">
        <v>1184</v>
      </c>
      <c r="BD174" s="7" t="s">
        <v>98</v>
      </c>
      <c r="BE174" s="11"/>
    </row>
    <row r="175" customFormat="false" ht="68.65" hidden="false" customHeight="false" outlineLevel="0" collapsed="false">
      <c r="A175" s="6" t="n">
        <v>174</v>
      </c>
      <c r="B175" s="7" t="s">
        <v>1169</v>
      </c>
      <c r="C175" s="7" t="s">
        <v>1185</v>
      </c>
      <c r="D175" s="8" t="n">
        <v>1.44</v>
      </c>
      <c r="E175" s="7" t="s">
        <v>85</v>
      </c>
      <c r="F175" s="7" t="s">
        <v>86</v>
      </c>
      <c r="G175" s="6" t="n">
        <v>1</v>
      </c>
      <c r="H175" s="7" t="s">
        <v>158</v>
      </c>
      <c r="I175" s="7" t="s">
        <v>271</v>
      </c>
      <c r="J175" s="7" t="s">
        <v>1186</v>
      </c>
      <c r="K175" s="7" t="s">
        <v>88</v>
      </c>
      <c r="L175" s="9" t="n">
        <v>1296000</v>
      </c>
      <c r="M175" s="9"/>
      <c r="N175" s="9"/>
      <c r="O175" s="7" t="s">
        <v>154</v>
      </c>
      <c r="P175" s="7" t="s">
        <v>89</v>
      </c>
      <c r="Q175" s="7" t="s">
        <v>155</v>
      </c>
      <c r="R175" s="7" t="s">
        <v>1187</v>
      </c>
      <c r="S175" s="7" t="s">
        <v>1173</v>
      </c>
      <c r="T175" s="7"/>
      <c r="U175" s="10"/>
      <c r="V175" s="7"/>
      <c r="W175" s="7"/>
      <c r="X175" s="7" t="s">
        <v>1174</v>
      </c>
      <c r="Y175" s="7"/>
      <c r="Z175" s="7"/>
      <c r="AA175" s="7"/>
      <c r="AB175" s="8"/>
      <c r="AC175" s="6"/>
      <c r="AD175" s="6"/>
      <c r="AE175" s="6"/>
      <c r="AF175" s="7" t="s">
        <v>158</v>
      </c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8"/>
      <c r="AR175" s="9" t="n">
        <f aca="false">IFERROR(VLOOKUP($X175,Lotes!$A:$E,5,FALSE())*$U175,"")</f>
        <v>0</v>
      </c>
      <c r="AS175" s="9" t="n">
        <f aca="false">IF($L175="","",$L175*2.6)</f>
        <v>3369600</v>
      </c>
      <c r="AT175" s="9"/>
      <c r="AU175" s="9" t="n">
        <v>1555915</v>
      </c>
      <c r="AV175" s="9" t="n">
        <v>1555915</v>
      </c>
      <c r="AW175" s="9" t="n">
        <v>1555915</v>
      </c>
      <c r="AX175" s="7" t="s">
        <v>159</v>
      </c>
      <c r="AY175" s="7" t="s">
        <v>160</v>
      </c>
      <c r="AZ175" s="7"/>
      <c r="BA175" s="7" t="s">
        <v>1188</v>
      </c>
      <c r="BB175" s="7" t="s">
        <v>1189</v>
      </c>
      <c r="BC175" s="11" t="s">
        <v>1190</v>
      </c>
      <c r="BD175" s="7" t="s">
        <v>164</v>
      </c>
      <c r="BE175" s="11" t="s">
        <v>1178</v>
      </c>
    </row>
    <row r="176" customFormat="false" ht="46.25" hidden="false" customHeight="false" outlineLevel="0" collapsed="false">
      <c r="A176" s="6" t="n">
        <v>175</v>
      </c>
      <c r="B176" s="7" t="s">
        <v>1169</v>
      </c>
      <c r="C176" s="7" t="s">
        <v>1191</v>
      </c>
      <c r="D176" s="8" t="n">
        <v>1.28</v>
      </c>
      <c r="E176" s="7" t="s">
        <v>85</v>
      </c>
      <c r="F176" s="7" t="s">
        <v>86</v>
      </c>
      <c r="G176" s="6" t="n">
        <v>1</v>
      </c>
      <c r="H176" s="7" t="s">
        <v>158</v>
      </c>
      <c r="I176" s="7" t="s">
        <v>271</v>
      </c>
      <c r="J176" s="7" t="s">
        <v>1192</v>
      </c>
      <c r="K176" s="7" t="s">
        <v>88</v>
      </c>
      <c r="L176" s="9" t="n">
        <v>1153000</v>
      </c>
      <c r="M176" s="9"/>
      <c r="N176" s="9"/>
      <c r="O176" s="7" t="s">
        <v>154</v>
      </c>
      <c r="P176" s="7" t="s">
        <v>89</v>
      </c>
      <c r="Q176" s="7" t="s">
        <v>155</v>
      </c>
      <c r="R176" s="7" t="s">
        <v>1193</v>
      </c>
      <c r="S176" s="7" t="s">
        <v>1173</v>
      </c>
      <c r="T176" s="7"/>
      <c r="U176" s="10"/>
      <c r="V176" s="7"/>
      <c r="W176" s="7"/>
      <c r="X176" s="7"/>
      <c r="Y176" s="7"/>
      <c r="Z176" s="7"/>
      <c r="AA176" s="7"/>
      <c r="AB176" s="8"/>
      <c r="AC176" s="6"/>
      <c r="AD176" s="6"/>
      <c r="AE176" s="6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8"/>
      <c r="AR176" s="9" t="str">
        <f aca="false">IFERROR(VLOOKUP($X176,Lotes!$A:$E,5,FALSE())*$U176,"")</f>
        <v/>
      </c>
      <c r="AS176" s="9" t="n">
        <f aca="false">IF($L176="","",$L176*2.6)</f>
        <v>2997800</v>
      </c>
      <c r="AT176" s="9"/>
      <c r="AU176" s="9" t="n">
        <v>1383600</v>
      </c>
      <c r="AV176" s="9" t="n">
        <v>1383600</v>
      </c>
      <c r="AW176" s="9" t="n">
        <v>1383600</v>
      </c>
      <c r="AX176" s="7" t="s">
        <v>159</v>
      </c>
      <c r="AY176" s="7" t="s">
        <v>1194</v>
      </c>
      <c r="AZ176" s="7"/>
      <c r="BA176" s="7" t="s">
        <v>1195</v>
      </c>
      <c r="BB176" s="7" t="s">
        <v>1196</v>
      </c>
      <c r="BC176" s="11" t="s">
        <v>1197</v>
      </c>
      <c r="BD176" s="7" t="s">
        <v>98</v>
      </c>
      <c r="BE176" s="11" t="s">
        <v>794</v>
      </c>
    </row>
    <row r="177" customFormat="false" ht="46.25" hidden="false" customHeight="false" outlineLevel="0" collapsed="false">
      <c r="A177" s="6" t="n">
        <v>176</v>
      </c>
      <c r="B177" s="7" t="s">
        <v>1169</v>
      </c>
      <c r="C177" s="7" t="s">
        <v>1198</v>
      </c>
      <c r="D177" s="8" t="n">
        <v>10</v>
      </c>
      <c r="E177" s="7" t="s">
        <v>245</v>
      </c>
      <c r="F177" s="7" t="s">
        <v>123</v>
      </c>
      <c r="G177" s="6" t="n">
        <v>1</v>
      </c>
      <c r="H177" s="7" t="s">
        <v>1199</v>
      </c>
      <c r="I177" s="7"/>
      <c r="J177" s="7"/>
      <c r="K177" s="7" t="s">
        <v>1054</v>
      </c>
      <c r="L177" s="9" t="n">
        <v>1338627</v>
      </c>
      <c r="M177" s="9"/>
      <c r="N177" s="9"/>
      <c r="O177" s="7" t="s">
        <v>154</v>
      </c>
      <c r="P177" s="7" t="s">
        <v>89</v>
      </c>
      <c r="Q177" s="7" t="s">
        <v>155</v>
      </c>
      <c r="R177" s="7" t="s">
        <v>1200</v>
      </c>
      <c r="S177" s="7" t="s">
        <v>356</v>
      </c>
      <c r="T177" s="7"/>
      <c r="U177" s="10"/>
      <c r="V177" s="7"/>
      <c r="W177" s="7"/>
      <c r="X177" s="7"/>
      <c r="Y177" s="7"/>
      <c r="Z177" s="7"/>
      <c r="AA177" s="7"/>
      <c r="AB177" s="8"/>
      <c r="AC177" s="6"/>
      <c r="AD177" s="6"/>
      <c r="AE177" s="6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8"/>
      <c r="AR177" s="9" t="str">
        <f aca="false">IFERROR(VLOOKUP($X177,Lotes!$A:$E,5,FALSE())*$U177,"")</f>
        <v/>
      </c>
      <c r="AS177" s="9" t="n">
        <f aca="false">IF($L177="","",$L177*2.6)</f>
        <v>3480430.2</v>
      </c>
      <c r="AT177" s="9"/>
      <c r="AU177" s="9" t="n">
        <v>1758780</v>
      </c>
      <c r="AV177" s="9" t="n">
        <v>1758780</v>
      </c>
      <c r="AW177" s="9" t="n">
        <v>1758780</v>
      </c>
      <c r="AX177" s="7" t="s">
        <v>159</v>
      </c>
      <c r="AY177" s="7" t="s">
        <v>94</v>
      </c>
      <c r="AZ177" s="7"/>
      <c r="BA177" s="7" t="s">
        <v>1201</v>
      </c>
      <c r="BB177" s="7" t="s">
        <v>1202</v>
      </c>
      <c r="BC177" s="11" t="s">
        <v>1203</v>
      </c>
      <c r="BD177" s="7" t="s">
        <v>98</v>
      </c>
      <c r="BE177" s="11" t="s">
        <v>794</v>
      </c>
    </row>
    <row r="178" customFormat="false" ht="46.25" hidden="false" customHeight="false" outlineLevel="0" collapsed="false">
      <c r="A178" s="6" t="n">
        <v>177</v>
      </c>
      <c r="B178" s="7" t="s">
        <v>1169</v>
      </c>
      <c r="C178" s="7" t="s">
        <v>1204</v>
      </c>
      <c r="D178" s="8" t="n">
        <v>10</v>
      </c>
      <c r="E178" s="7" t="s">
        <v>245</v>
      </c>
      <c r="F178" s="7" t="s">
        <v>123</v>
      </c>
      <c r="G178" s="6" t="n">
        <v>1</v>
      </c>
      <c r="H178" s="7" t="s">
        <v>1205</v>
      </c>
      <c r="I178" s="7"/>
      <c r="J178" s="7"/>
      <c r="K178" s="7" t="s">
        <v>1054</v>
      </c>
      <c r="L178" s="9" t="n">
        <v>848000</v>
      </c>
      <c r="M178" s="9"/>
      <c r="N178" s="9"/>
      <c r="O178" s="7" t="s">
        <v>154</v>
      </c>
      <c r="P178" s="7" t="s">
        <v>89</v>
      </c>
      <c r="Q178" s="7" t="s">
        <v>155</v>
      </c>
      <c r="R178" s="7" t="s">
        <v>1206</v>
      </c>
      <c r="S178" s="7" t="s">
        <v>356</v>
      </c>
      <c r="T178" s="7"/>
      <c r="U178" s="10"/>
      <c r="V178" s="7"/>
      <c r="W178" s="7"/>
      <c r="X178" s="7"/>
      <c r="Y178" s="7"/>
      <c r="Z178" s="7"/>
      <c r="AA178" s="7"/>
      <c r="AB178" s="8"/>
      <c r="AC178" s="6"/>
      <c r="AD178" s="6"/>
      <c r="AE178" s="6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8"/>
      <c r="AR178" s="9" t="str">
        <f aca="false">IFERROR(VLOOKUP($X178,Lotes!$A:$E,5,FALSE())*$U178,"")</f>
        <v/>
      </c>
      <c r="AS178" s="9" t="n">
        <f aca="false">IF($L178="","",$L178*2.6)</f>
        <v>2204800</v>
      </c>
      <c r="AT178" s="9"/>
      <c r="AU178" s="9" t="n">
        <v>1017600</v>
      </c>
      <c r="AV178" s="9" t="n">
        <v>1017600</v>
      </c>
      <c r="AW178" s="9" t="n">
        <v>1017600</v>
      </c>
      <c r="AX178" s="7" t="s">
        <v>159</v>
      </c>
      <c r="AY178" s="7" t="s">
        <v>94</v>
      </c>
      <c r="AZ178" s="7"/>
      <c r="BA178" s="7" t="s">
        <v>1207</v>
      </c>
      <c r="BB178" s="7" t="s">
        <v>1208</v>
      </c>
      <c r="BC178" s="11" t="s">
        <v>1209</v>
      </c>
      <c r="BD178" s="7" t="s">
        <v>98</v>
      </c>
      <c r="BE178" s="11" t="s">
        <v>794</v>
      </c>
    </row>
    <row r="179" customFormat="false" ht="23.85" hidden="false" customHeight="false" outlineLevel="0" collapsed="false">
      <c r="A179" s="6" t="n">
        <v>178</v>
      </c>
      <c r="B179" s="7" t="s">
        <v>1210</v>
      </c>
      <c r="C179" s="7" t="s">
        <v>1211</v>
      </c>
      <c r="D179" s="8"/>
      <c r="E179" s="7" t="s">
        <v>172</v>
      </c>
      <c r="F179" s="7" t="s">
        <v>1147</v>
      </c>
      <c r="G179" s="6" t="n">
        <v>1</v>
      </c>
      <c r="H179" s="7"/>
      <c r="I179" s="7"/>
      <c r="J179" s="7"/>
      <c r="K179" s="7" t="s">
        <v>1148</v>
      </c>
      <c r="L179" s="9" t="n">
        <v>226923</v>
      </c>
      <c r="M179" s="9"/>
      <c r="N179" s="9"/>
      <c r="O179" s="7" t="s">
        <v>41</v>
      </c>
      <c r="P179" s="7" t="s">
        <v>344</v>
      </c>
      <c r="Q179" s="7" t="s">
        <v>90</v>
      </c>
      <c r="R179" s="7" t="s">
        <v>1212</v>
      </c>
      <c r="S179" s="7" t="s">
        <v>356</v>
      </c>
      <c r="T179" s="7" t="s">
        <v>93</v>
      </c>
      <c r="U179" s="10"/>
      <c r="V179" s="7"/>
      <c r="W179" s="7"/>
      <c r="X179" s="7"/>
      <c r="Y179" s="7"/>
      <c r="Z179" s="7"/>
      <c r="AA179" s="7"/>
      <c r="AB179" s="8"/>
      <c r="AC179" s="6"/>
      <c r="AD179" s="6"/>
      <c r="AE179" s="6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8"/>
      <c r="AR179" s="9" t="str">
        <f aca="false">IFERROR(VLOOKUP($X179,Lotes!$A:$E,5,FALSE())*$U179,"")</f>
        <v/>
      </c>
      <c r="AS179" s="9" t="n">
        <f aca="false">IF($L179="","",$L179*2.6)</f>
        <v>589999.8</v>
      </c>
      <c r="AT179" s="9"/>
      <c r="AU179" s="9" t="n">
        <v>590000</v>
      </c>
      <c r="AV179" s="9" t="n">
        <v>194700</v>
      </c>
      <c r="AW179" s="9" t="n">
        <v>-300</v>
      </c>
      <c r="AX179" s="7" t="s">
        <v>344</v>
      </c>
      <c r="AY179" s="7" t="s">
        <v>94</v>
      </c>
      <c r="AZ179" s="7"/>
      <c r="BA179" s="7" t="s">
        <v>1213</v>
      </c>
      <c r="BB179" s="7" t="s">
        <v>1214</v>
      </c>
      <c r="BC179" s="11" t="s">
        <v>1215</v>
      </c>
      <c r="BD179" s="7" t="s">
        <v>98</v>
      </c>
      <c r="BE179" s="11" t="s">
        <v>99</v>
      </c>
    </row>
    <row r="180" customFormat="false" ht="46.25" hidden="false" customHeight="false" outlineLevel="0" collapsed="false">
      <c r="A180" s="6" t="n">
        <v>179</v>
      </c>
      <c r="B180" s="7" t="s">
        <v>1210</v>
      </c>
      <c r="C180" s="7" t="s">
        <v>1216</v>
      </c>
      <c r="D180" s="8" t="n">
        <v>0.3</v>
      </c>
      <c r="E180" s="7" t="s">
        <v>172</v>
      </c>
      <c r="F180" s="7" t="s">
        <v>270</v>
      </c>
      <c r="G180" s="6" t="n">
        <v>4</v>
      </c>
      <c r="H180" s="7" t="s">
        <v>101</v>
      </c>
      <c r="I180" s="7" t="s">
        <v>303</v>
      </c>
      <c r="J180" s="7" t="s">
        <v>1217</v>
      </c>
      <c r="K180" s="7" t="s">
        <v>371</v>
      </c>
      <c r="L180" s="9" t="n">
        <v>375000</v>
      </c>
      <c r="M180" s="9"/>
      <c r="N180" s="9"/>
      <c r="O180" s="7" t="s">
        <v>41</v>
      </c>
      <c r="P180" s="7" t="s">
        <v>159</v>
      </c>
      <c r="Q180" s="7" t="s">
        <v>90</v>
      </c>
      <c r="R180" s="7" t="s">
        <v>1218</v>
      </c>
      <c r="S180" s="7" t="s">
        <v>1219</v>
      </c>
      <c r="T180" s="7" t="s">
        <v>93</v>
      </c>
      <c r="U180" s="10"/>
      <c r="V180" s="7"/>
      <c r="W180" s="7"/>
      <c r="X180" s="7"/>
      <c r="Y180" s="7"/>
      <c r="Z180" s="7"/>
      <c r="AA180" s="7"/>
      <c r="AB180" s="8"/>
      <c r="AC180" s="6"/>
      <c r="AD180" s="6"/>
      <c r="AE180" s="6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8"/>
      <c r="AR180" s="9" t="str">
        <f aca="false">IFERROR(VLOOKUP($X180,Lotes!$A:$E,5,FALSE())*$U180,"")</f>
        <v/>
      </c>
      <c r="AS180" s="9" t="n">
        <f aca="false">IF($L180="","",$L180*2.6)</f>
        <v>975000</v>
      </c>
      <c r="AT180" s="9"/>
      <c r="AU180" s="9" t="n">
        <v>1125000</v>
      </c>
      <c r="AV180" s="9" t="n">
        <v>1012500</v>
      </c>
      <c r="AW180" s="9" t="n">
        <v>0</v>
      </c>
      <c r="AX180" s="7" t="s">
        <v>657</v>
      </c>
      <c r="AY180" s="7" t="s">
        <v>94</v>
      </c>
      <c r="AZ180" s="7"/>
      <c r="BA180" s="7" t="s">
        <v>1220</v>
      </c>
      <c r="BB180" s="7" t="s">
        <v>1221</v>
      </c>
      <c r="BC180" s="11" t="s">
        <v>1222</v>
      </c>
      <c r="BD180" s="7" t="s">
        <v>98</v>
      </c>
      <c r="BE180" s="11" t="s">
        <v>1223</v>
      </c>
    </row>
    <row r="181" customFormat="false" ht="46.25" hidden="false" customHeight="false" outlineLevel="0" collapsed="false">
      <c r="A181" s="6" t="n">
        <v>180</v>
      </c>
      <c r="B181" s="7" t="s">
        <v>1210</v>
      </c>
      <c r="C181" s="7" t="s">
        <v>1224</v>
      </c>
      <c r="D181" s="8" t="n">
        <v>0.42</v>
      </c>
      <c r="E181" s="7" t="s">
        <v>172</v>
      </c>
      <c r="F181" s="7" t="s">
        <v>270</v>
      </c>
      <c r="G181" s="6" t="n">
        <v>5</v>
      </c>
      <c r="H181" s="7" t="s">
        <v>789</v>
      </c>
      <c r="I181" s="7" t="s">
        <v>303</v>
      </c>
      <c r="J181" s="7" t="s">
        <v>1225</v>
      </c>
      <c r="K181" s="7" t="s">
        <v>371</v>
      </c>
      <c r="L181" s="9" t="n">
        <v>525000</v>
      </c>
      <c r="M181" s="9"/>
      <c r="N181" s="9"/>
      <c r="O181" s="7" t="s">
        <v>154</v>
      </c>
      <c r="P181" s="7" t="s">
        <v>89</v>
      </c>
      <c r="Q181" s="7"/>
      <c r="R181" s="7" t="s">
        <v>1226</v>
      </c>
      <c r="S181" s="7" t="s">
        <v>1219</v>
      </c>
      <c r="T181" s="7"/>
      <c r="U181" s="10"/>
      <c r="V181" s="7"/>
      <c r="W181" s="7"/>
      <c r="X181" s="7"/>
      <c r="Y181" s="7"/>
      <c r="Z181" s="7"/>
      <c r="AA181" s="7"/>
      <c r="AB181" s="8"/>
      <c r="AC181" s="6"/>
      <c r="AD181" s="6"/>
      <c r="AE181" s="6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8"/>
      <c r="AR181" s="9" t="str">
        <f aca="false">IFERROR(VLOOKUP($X181,Lotes!$A:$E,5,FALSE())*$U181,"")</f>
        <v/>
      </c>
      <c r="AS181" s="9" t="n">
        <f aca="false">IF($L181="","",$L181*2.6)</f>
        <v>1365000</v>
      </c>
      <c r="AT181" s="9"/>
      <c r="AU181" s="9" t="n">
        <v>1575000</v>
      </c>
      <c r="AV181" s="9" t="n">
        <v>1575000</v>
      </c>
      <c r="AW181" s="9" t="n">
        <v>0</v>
      </c>
      <c r="AX181" s="7" t="s">
        <v>159</v>
      </c>
      <c r="AY181" s="7" t="s">
        <v>773</v>
      </c>
      <c r="AZ181" s="7"/>
      <c r="BA181" s="7" t="s">
        <v>1227</v>
      </c>
      <c r="BB181" s="7" t="s">
        <v>1228</v>
      </c>
      <c r="BC181" s="11" t="s">
        <v>1229</v>
      </c>
      <c r="BD181" s="7" t="s">
        <v>98</v>
      </c>
      <c r="BE181" s="11" t="s">
        <v>794</v>
      </c>
    </row>
    <row r="182" customFormat="false" ht="15" hidden="false" customHeight="false" outlineLevel="0" collapsed="false">
      <c r="A182" s="6" t="n">
        <v>181</v>
      </c>
      <c r="B182" s="7" t="s">
        <v>1210</v>
      </c>
      <c r="C182" s="7" t="s">
        <v>1230</v>
      </c>
      <c r="D182" s="8" t="n">
        <v>0.23</v>
      </c>
      <c r="E182" s="7" t="s">
        <v>172</v>
      </c>
      <c r="F182" s="7" t="s">
        <v>270</v>
      </c>
      <c r="G182" s="6" t="n">
        <v>4</v>
      </c>
      <c r="H182" s="7" t="s">
        <v>101</v>
      </c>
      <c r="I182" s="7" t="s">
        <v>303</v>
      </c>
      <c r="J182" s="7" t="s">
        <v>1231</v>
      </c>
      <c r="K182" s="7" t="s">
        <v>371</v>
      </c>
      <c r="L182" s="9" t="n">
        <v>288000</v>
      </c>
      <c r="M182" s="9"/>
      <c r="N182" s="9"/>
      <c r="O182" s="7" t="s">
        <v>41</v>
      </c>
      <c r="P182" s="7" t="s">
        <v>218</v>
      </c>
      <c r="Q182" s="7" t="s">
        <v>90</v>
      </c>
      <c r="R182" s="7" t="s">
        <v>1232</v>
      </c>
      <c r="S182" s="7" t="s">
        <v>1219</v>
      </c>
      <c r="T182" s="7" t="s">
        <v>93</v>
      </c>
      <c r="U182" s="10"/>
      <c r="V182" s="7"/>
      <c r="W182" s="7"/>
      <c r="X182" s="7"/>
      <c r="Y182" s="7"/>
      <c r="Z182" s="7"/>
      <c r="AA182" s="7"/>
      <c r="AB182" s="8"/>
      <c r="AC182" s="6"/>
      <c r="AD182" s="6"/>
      <c r="AE182" s="6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8"/>
      <c r="AR182" s="9" t="str">
        <f aca="false">IFERROR(VLOOKUP($X182,Lotes!$A:$E,5,FALSE())*$U182,"")</f>
        <v/>
      </c>
      <c r="AS182" s="9" t="n">
        <f aca="false">IF($L182="","",$L182*2.6)</f>
        <v>748800</v>
      </c>
      <c r="AT182" s="9"/>
      <c r="AU182" s="9" t="n">
        <v>864000</v>
      </c>
      <c r="AV182" s="9" t="n">
        <v>838080</v>
      </c>
      <c r="AW182" s="9" t="n">
        <v>0</v>
      </c>
      <c r="AX182" s="7" t="s">
        <v>218</v>
      </c>
      <c r="AY182" s="7" t="s">
        <v>94</v>
      </c>
      <c r="AZ182" s="7"/>
      <c r="BA182" s="7" t="s">
        <v>1233</v>
      </c>
      <c r="BB182" s="7" t="s">
        <v>1234</v>
      </c>
      <c r="BC182" s="11" t="s">
        <v>1235</v>
      </c>
      <c r="BD182" s="7" t="s">
        <v>98</v>
      </c>
      <c r="BE182" s="11"/>
    </row>
    <row r="183" customFormat="false" ht="79.85" hidden="false" customHeight="false" outlineLevel="0" collapsed="false">
      <c r="A183" s="6" t="n">
        <v>182</v>
      </c>
      <c r="B183" s="7" t="s">
        <v>1210</v>
      </c>
      <c r="C183" s="7" t="s">
        <v>1236</v>
      </c>
      <c r="D183" s="8" t="n">
        <v>1.24</v>
      </c>
      <c r="E183" s="7" t="s">
        <v>85</v>
      </c>
      <c r="F183" s="7" t="s">
        <v>311</v>
      </c>
      <c r="G183" s="6" t="n">
        <v>1</v>
      </c>
      <c r="H183" s="7" t="s">
        <v>1237</v>
      </c>
      <c r="I183" s="7"/>
      <c r="J183" s="7"/>
      <c r="K183" s="7" t="s">
        <v>88</v>
      </c>
      <c r="L183" s="9" t="n">
        <v>500000</v>
      </c>
      <c r="M183" s="9"/>
      <c r="N183" s="9"/>
      <c r="O183" s="7" t="s">
        <v>108</v>
      </c>
      <c r="P183" s="7" t="s">
        <v>109</v>
      </c>
      <c r="Q183" s="7" t="s">
        <v>155</v>
      </c>
      <c r="R183" s="7" t="s">
        <v>1238</v>
      </c>
      <c r="S183" s="7" t="s">
        <v>1219</v>
      </c>
      <c r="T183" s="7"/>
      <c r="U183" s="10"/>
      <c r="V183" s="7"/>
      <c r="W183" s="7"/>
      <c r="X183" s="7" t="s">
        <v>1239</v>
      </c>
      <c r="Y183" s="7"/>
      <c r="Z183" s="7"/>
      <c r="AA183" s="7"/>
      <c r="AB183" s="8"/>
      <c r="AC183" s="6"/>
      <c r="AD183" s="6"/>
      <c r="AE183" s="6"/>
      <c r="AF183" s="7" t="s">
        <v>1240</v>
      </c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8"/>
      <c r="AR183" s="9" t="n">
        <f aca="false">IFERROR(VLOOKUP($X183,Lotes!$A:$E,5,FALSE())*$U183,"")</f>
        <v>0</v>
      </c>
      <c r="AS183" s="9" t="n">
        <f aca="false">IF($L183="","",$L183*2.6)</f>
        <v>1300000</v>
      </c>
      <c r="AT183" s="9"/>
      <c r="AU183" s="9" t="n">
        <v>1500000</v>
      </c>
      <c r="AV183" s="9" t="n">
        <v>1500000</v>
      </c>
      <c r="AW183" s="9" t="n">
        <v>1500000</v>
      </c>
      <c r="AX183" s="7" t="s">
        <v>159</v>
      </c>
      <c r="AY183" s="7" t="s">
        <v>160</v>
      </c>
      <c r="AZ183" s="7"/>
      <c r="BA183" s="7" t="s">
        <v>1241</v>
      </c>
      <c r="BB183" s="7" t="s">
        <v>1242</v>
      </c>
      <c r="BC183" s="11" t="s">
        <v>1243</v>
      </c>
      <c r="BD183" s="7" t="s">
        <v>164</v>
      </c>
      <c r="BE183" s="11" t="s">
        <v>1244</v>
      </c>
    </row>
    <row r="184" customFormat="false" ht="15" hidden="false" customHeight="false" outlineLevel="0" collapsed="false">
      <c r="A184" s="6" t="n">
        <v>183</v>
      </c>
      <c r="B184" s="7" t="s">
        <v>1245</v>
      </c>
      <c r="C184" s="7" t="s">
        <v>1246</v>
      </c>
      <c r="D184" s="8"/>
      <c r="E184" s="7" t="s">
        <v>85</v>
      </c>
      <c r="F184" s="7" t="s">
        <v>86</v>
      </c>
      <c r="G184" s="6" t="n">
        <v>1</v>
      </c>
      <c r="H184" s="7" t="s">
        <v>362</v>
      </c>
      <c r="I184" s="7"/>
      <c r="J184" s="7"/>
      <c r="K184" s="7" t="s">
        <v>353</v>
      </c>
      <c r="L184" s="9" t="n">
        <v>400000</v>
      </c>
      <c r="M184" s="9"/>
      <c r="N184" s="9"/>
      <c r="O184" s="7" t="s">
        <v>154</v>
      </c>
      <c r="P184" s="7" t="s">
        <v>344</v>
      </c>
      <c r="Q184" s="7" t="s">
        <v>90</v>
      </c>
      <c r="R184" s="7" t="s">
        <v>1247</v>
      </c>
      <c r="S184" s="7" t="s">
        <v>356</v>
      </c>
      <c r="T184" s="7" t="s">
        <v>93</v>
      </c>
      <c r="U184" s="10"/>
      <c r="V184" s="7"/>
      <c r="W184" s="7"/>
      <c r="X184" s="7"/>
      <c r="Y184" s="7"/>
      <c r="Z184" s="7"/>
      <c r="AA184" s="7"/>
      <c r="AB184" s="8"/>
      <c r="AC184" s="6"/>
      <c r="AD184" s="6"/>
      <c r="AE184" s="6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8"/>
      <c r="AR184" s="9" t="str">
        <f aca="false">IFERROR(VLOOKUP($X184,Lotes!$A:$E,5,FALSE())*$U184,"")</f>
        <v/>
      </c>
      <c r="AS184" s="9" t="n">
        <f aca="false">IF($L184="","",$L184*2.6)</f>
        <v>1040000</v>
      </c>
      <c r="AT184" s="9"/>
      <c r="AU184" s="9" t="n">
        <v>600000</v>
      </c>
      <c r="AV184" s="9" t="n">
        <v>450000</v>
      </c>
      <c r="AW184" s="9" t="n">
        <v>0</v>
      </c>
      <c r="AX184" s="7" t="s">
        <v>344</v>
      </c>
      <c r="AY184" s="7" t="s">
        <v>94</v>
      </c>
      <c r="AZ184" s="7"/>
      <c r="BA184" s="7" t="s">
        <v>1248</v>
      </c>
      <c r="BB184" s="7" t="s">
        <v>1249</v>
      </c>
      <c r="BC184" s="11" t="s">
        <v>1250</v>
      </c>
      <c r="BD184" s="7" t="s">
        <v>98</v>
      </c>
      <c r="BE184" s="11"/>
    </row>
    <row r="185" customFormat="false" ht="15" hidden="false" customHeight="false" outlineLevel="0" collapsed="false">
      <c r="A185" s="6" t="n">
        <v>184</v>
      </c>
      <c r="B185" s="7" t="s">
        <v>1245</v>
      </c>
      <c r="C185" s="7" t="s">
        <v>1251</v>
      </c>
      <c r="D185" s="8"/>
      <c r="E185" s="7" t="s">
        <v>85</v>
      </c>
      <c r="F185" s="7" t="s">
        <v>86</v>
      </c>
      <c r="G185" s="6" t="n">
        <v>1</v>
      </c>
      <c r="H185" s="7" t="s">
        <v>101</v>
      </c>
      <c r="I185" s="7"/>
      <c r="J185" s="7"/>
      <c r="K185" s="7" t="s">
        <v>907</v>
      </c>
      <c r="L185" s="9" t="n">
        <v>400000</v>
      </c>
      <c r="M185" s="9"/>
      <c r="N185" s="9"/>
      <c r="O185" s="7" t="s">
        <v>41</v>
      </c>
      <c r="P185" s="7" t="s">
        <v>489</v>
      </c>
      <c r="Q185" s="7" t="s">
        <v>90</v>
      </c>
      <c r="R185" s="7" t="s">
        <v>1252</v>
      </c>
      <c r="S185" s="7" t="s">
        <v>356</v>
      </c>
      <c r="T185" s="7"/>
      <c r="U185" s="10"/>
      <c r="V185" s="7"/>
      <c r="W185" s="7"/>
      <c r="X185" s="7"/>
      <c r="Y185" s="7"/>
      <c r="Z185" s="7"/>
      <c r="AA185" s="7"/>
      <c r="AB185" s="8"/>
      <c r="AC185" s="6"/>
      <c r="AD185" s="6"/>
      <c r="AE185" s="6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8"/>
      <c r="AR185" s="9" t="str">
        <f aca="false">IFERROR(VLOOKUP($X185,Lotes!$A:$E,5,FALSE())*$U185,"")</f>
        <v/>
      </c>
      <c r="AS185" s="9" t="n">
        <f aca="false">IF($L185="","",$L185*2.6)</f>
        <v>1040000</v>
      </c>
      <c r="AT185" s="9"/>
      <c r="AU185" s="9" t="n">
        <v>600000</v>
      </c>
      <c r="AV185" s="9" t="n">
        <v>480000</v>
      </c>
      <c r="AW185" s="9" t="n">
        <v>0</v>
      </c>
      <c r="AX185" s="7" t="s">
        <v>489</v>
      </c>
      <c r="AY185" s="7" t="s">
        <v>94</v>
      </c>
      <c r="AZ185" s="7"/>
      <c r="BA185" s="7" t="s">
        <v>1253</v>
      </c>
      <c r="BB185" s="7" t="s">
        <v>1254</v>
      </c>
      <c r="BC185" s="11" t="s">
        <v>1255</v>
      </c>
      <c r="BD185" s="7" t="s">
        <v>98</v>
      </c>
      <c r="BE185" s="11"/>
    </row>
    <row r="186" customFormat="false" ht="46.25" hidden="false" customHeight="false" outlineLevel="0" collapsed="false">
      <c r="A186" s="6" t="n">
        <v>185</v>
      </c>
      <c r="B186" s="7" t="s">
        <v>1256</v>
      </c>
      <c r="C186" s="7" t="s">
        <v>1257</v>
      </c>
      <c r="D186" s="8" t="n">
        <v>153</v>
      </c>
      <c r="E186" s="7"/>
      <c r="F186" s="7" t="s">
        <v>1258</v>
      </c>
      <c r="G186" s="6" t="n">
        <v>1</v>
      </c>
      <c r="H186" s="7" t="s">
        <v>1237</v>
      </c>
      <c r="I186" s="7"/>
      <c r="J186" s="7"/>
      <c r="K186" s="7" t="s">
        <v>1054</v>
      </c>
      <c r="L186" s="9" t="n">
        <v>150000</v>
      </c>
      <c r="M186" s="9"/>
      <c r="N186" s="9"/>
      <c r="O186" s="7" t="s">
        <v>154</v>
      </c>
      <c r="P186" s="7" t="s">
        <v>89</v>
      </c>
      <c r="Q186" s="7" t="s">
        <v>155</v>
      </c>
      <c r="R186" s="7" t="s">
        <v>1259</v>
      </c>
      <c r="S186" s="7" t="s">
        <v>356</v>
      </c>
      <c r="T186" s="7"/>
      <c r="U186" s="10"/>
      <c r="V186" s="7"/>
      <c r="W186" s="7"/>
      <c r="X186" s="7"/>
      <c r="Y186" s="7"/>
      <c r="Z186" s="7"/>
      <c r="AA186" s="7"/>
      <c r="AB186" s="8"/>
      <c r="AC186" s="6"/>
      <c r="AD186" s="6"/>
      <c r="AE186" s="6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8"/>
      <c r="AR186" s="9" t="str">
        <f aca="false">IFERROR(VLOOKUP($X186,Lotes!$A:$E,5,FALSE())*$U186,"")</f>
        <v/>
      </c>
      <c r="AS186" s="9" t="n">
        <f aca="false">IF($L186="","",$L186*2.6)</f>
        <v>390000</v>
      </c>
      <c r="AT186" s="9"/>
      <c r="AU186" s="9" t="n">
        <v>375000</v>
      </c>
      <c r="AV186" s="9" t="n">
        <v>375000</v>
      </c>
      <c r="AW186" s="9" t="n">
        <v>375000</v>
      </c>
      <c r="AX186" s="7" t="s">
        <v>159</v>
      </c>
      <c r="AY186" s="7" t="s">
        <v>160</v>
      </c>
      <c r="AZ186" s="7"/>
      <c r="BA186" s="7" t="s">
        <v>1260</v>
      </c>
      <c r="BB186" s="7" t="s">
        <v>1261</v>
      </c>
      <c r="BC186" s="11" t="s">
        <v>1262</v>
      </c>
      <c r="BD186" s="7" t="s">
        <v>98</v>
      </c>
      <c r="BE186" s="11" t="s">
        <v>794</v>
      </c>
    </row>
    <row r="187" customFormat="false" ht="57.45" hidden="false" customHeight="false" outlineLevel="0" collapsed="false">
      <c r="A187" s="6" t="n">
        <v>186</v>
      </c>
      <c r="B187" s="7" t="s">
        <v>1263</v>
      </c>
      <c r="C187" s="7" t="s">
        <v>1264</v>
      </c>
      <c r="D187" s="8" t="n">
        <v>4.08</v>
      </c>
      <c r="E187" s="7" t="s">
        <v>172</v>
      </c>
      <c r="F187" s="7" t="s">
        <v>270</v>
      </c>
      <c r="G187" s="6" t="n">
        <v>1</v>
      </c>
      <c r="H187" s="7" t="s">
        <v>394</v>
      </c>
      <c r="I187" s="7" t="s">
        <v>271</v>
      </c>
      <c r="J187" s="7" t="s">
        <v>1265</v>
      </c>
      <c r="K187" s="7" t="s">
        <v>88</v>
      </c>
      <c r="L187" s="9" t="n">
        <v>16320000</v>
      </c>
      <c r="M187" s="9"/>
      <c r="N187" s="9"/>
      <c r="O187" s="7" t="s">
        <v>817</v>
      </c>
      <c r="P187" s="7" t="s">
        <v>89</v>
      </c>
      <c r="Q187" s="7" t="s">
        <v>155</v>
      </c>
      <c r="R187" s="7" t="s">
        <v>1266</v>
      </c>
      <c r="S187" s="7" t="s">
        <v>1267</v>
      </c>
      <c r="T187" s="7"/>
      <c r="U187" s="10"/>
      <c r="V187" s="7"/>
      <c r="W187" s="7"/>
      <c r="X187" s="7"/>
      <c r="Y187" s="7"/>
      <c r="Z187" s="7"/>
      <c r="AA187" s="7"/>
      <c r="AB187" s="8"/>
      <c r="AC187" s="6"/>
      <c r="AD187" s="6"/>
      <c r="AE187" s="6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8"/>
      <c r="AR187" s="9" t="str">
        <f aca="false">IFERROR(VLOOKUP($X187,Lotes!$A:$E,5,FALSE())*$U187,"")</f>
        <v/>
      </c>
      <c r="AS187" s="9" t="n">
        <f aca="false">IF($L187="","",$L187*2.6)</f>
        <v>42432000</v>
      </c>
      <c r="AT187" s="9"/>
      <c r="AU187" s="9" t="n">
        <v>48960000</v>
      </c>
      <c r="AV187" s="9" t="n">
        <v>48960000</v>
      </c>
      <c r="AW187" s="9" t="n">
        <v>48960000</v>
      </c>
      <c r="AX187" s="7" t="s">
        <v>428</v>
      </c>
      <c r="AY187" s="7" t="s">
        <v>1268</v>
      </c>
      <c r="AZ187" s="7"/>
      <c r="BA187" s="7" t="s">
        <v>1269</v>
      </c>
      <c r="BB187" s="7" t="s">
        <v>1270</v>
      </c>
      <c r="BC187" s="11" t="s">
        <v>1271</v>
      </c>
      <c r="BD187" s="7" t="s">
        <v>98</v>
      </c>
      <c r="BE187" s="11" t="s">
        <v>1272</v>
      </c>
    </row>
    <row r="188" customFormat="false" ht="57.45" hidden="false" customHeight="false" outlineLevel="0" collapsed="false">
      <c r="A188" s="6" t="n">
        <v>187</v>
      </c>
      <c r="B188" s="7" t="s">
        <v>1263</v>
      </c>
      <c r="C188" s="7" t="s">
        <v>1273</v>
      </c>
      <c r="D188" s="8" t="n">
        <v>17.9</v>
      </c>
      <c r="E188" s="7" t="s">
        <v>172</v>
      </c>
      <c r="F188" s="7" t="s">
        <v>86</v>
      </c>
      <c r="G188" s="6" t="n">
        <v>12</v>
      </c>
      <c r="H188" s="7" t="s">
        <v>789</v>
      </c>
      <c r="I188" s="7"/>
      <c r="J188" s="7"/>
      <c r="K188" s="7" t="s">
        <v>371</v>
      </c>
      <c r="L188" s="9" t="n">
        <v>8950000</v>
      </c>
      <c r="M188" s="9"/>
      <c r="N188" s="9"/>
      <c r="O188" s="7" t="s">
        <v>817</v>
      </c>
      <c r="P188" s="7" t="s">
        <v>89</v>
      </c>
      <c r="Q188" s="7" t="s">
        <v>155</v>
      </c>
      <c r="R188" s="7" t="s">
        <v>1274</v>
      </c>
      <c r="S188" s="7" t="s">
        <v>1267</v>
      </c>
      <c r="T188" s="7"/>
      <c r="U188" s="10"/>
      <c r="V188" s="7"/>
      <c r="W188" s="7"/>
      <c r="X188" s="7"/>
      <c r="Y188" s="7"/>
      <c r="Z188" s="7"/>
      <c r="AA188" s="7"/>
      <c r="AB188" s="8"/>
      <c r="AC188" s="6"/>
      <c r="AD188" s="6"/>
      <c r="AE188" s="6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8"/>
      <c r="AR188" s="9" t="str">
        <f aca="false">IFERROR(VLOOKUP($X188,Lotes!$A:$E,5,FALSE())*$U188,"")</f>
        <v/>
      </c>
      <c r="AS188" s="9" t="n">
        <f aca="false">IF($L188="","",$L188*2.6)</f>
        <v>23270000</v>
      </c>
      <c r="AT188" s="9"/>
      <c r="AU188" s="9" t="n">
        <v>26850000</v>
      </c>
      <c r="AV188" s="9" t="n">
        <v>26850000</v>
      </c>
      <c r="AW188" s="9" t="n">
        <v>26850000</v>
      </c>
      <c r="AX188" s="7" t="s">
        <v>428</v>
      </c>
      <c r="AY188" s="7" t="s">
        <v>1268</v>
      </c>
      <c r="AZ188" s="7"/>
      <c r="BA188" s="7" t="s">
        <v>1275</v>
      </c>
      <c r="BB188" s="7" t="s">
        <v>1276</v>
      </c>
      <c r="BC188" s="11" t="s">
        <v>1277</v>
      </c>
      <c r="BD188" s="7" t="s">
        <v>98</v>
      </c>
      <c r="BE188" s="11" t="s">
        <v>1272</v>
      </c>
    </row>
    <row r="189" customFormat="false" ht="57.45" hidden="false" customHeight="false" outlineLevel="0" collapsed="false">
      <c r="A189" s="6" t="n">
        <v>188</v>
      </c>
      <c r="B189" s="7" t="s">
        <v>1263</v>
      </c>
      <c r="C189" s="7" t="s">
        <v>1278</v>
      </c>
      <c r="D189" s="8" t="n">
        <v>15.2</v>
      </c>
      <c r="E189" s="7" t="s">
        <v>172</v>
      </c>
      <c r="F189" s="7" t="s">
        <v>270</v>
      </c>
      <c r="G189" s="6" t="n">
        <v>8</v>
      </c>
      <c r="H189" s="7" t="s">
        <v>789</v>
      </c>
      <c r="I189" s="7"/>
      <c r="J189" s="7"/>
      <c r="K189" s="7" t="s">
        <v>371</v>
      </c>
      <c r="L189" s="9" t="n">
        <v>22800000</v>
      </c>
      <c r="M189" s="9"/>
      <c r="N189" s="9"/>
      <c r="O189" s="7" t="s">
        <v>817</v>
      </c>
      <c r="P189" s="7" t="s">
        <v>89</v>
      </c>
      <c r="Q189" s="7" t="s">
        <v>155</v>
      </c>
      <c r="R189" s="7" t="s">
        <v>1279</v>
      </c>
      <c r="S189" s="7" t="s">
        <v>1267</v>
      </c>
      <c r="T189" s="7"/>
      <c r="U189" s="10"/>
      <c r="V189" s="7"/>
      <c r="W189" s="7"/>
      <c r="X189" s="7"/>
      <c r="Y189" s="7"/>
      <c r="Z189" s="7"/>
      <c r="AA189" s="7"/>
      <c r="AB189" s="8"/>
      <c r="AC189" s="6"/>
      <c r="AD189" s="6"/>
      <c r="AE189" s="6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8"/>
      <c r="AR189" s="9" t="str">
        <f aca="false">IFERROR(VLOOKUP($X189,Lotes!$A:$E,5,FALSE())*$U189,"")</f>
        <v/>
      </c>
      <c r="AS189" s="9" t="n">
        <f aca="false">IF($L189="","",$L189*2.6)</f>
        <v>59280000</v>
      </c>
      <c r="AT189" s="9"/>
      <c r="AU189" s="9" t="n">
        <v>68400000</v>
      </c>
      <c r="AV189" s="9" t="n">
        <v>68400000</v>
      </c>
      <c r="AW189" s="9" t="n">
        <v>68400000</v>
      </c>
      <c r="AX189" s="7" t="s">
        <v>428</v>
      </c>
      <c r="AY189" s="7" t="s">
        <v>1268</v>
      </c>
      <c r="AZ189" s="7"/>
      <c r="BA189" s="7" t="s">
        <v>1280</v>
      </c>
      <c r="BB189" s="7" t="s">
        <v>1281</v>
      </c>
      <c r="BC189" s="11" t="s">
        <v>1282</v>
      </c>
      <c r="BD189" s="7" t="s">
        <v>98</v>
      </c>
      <c r="BE189" s="11" t="s">
        <v>1272</v>
      </c>
    </row>
    <row r="190" customFormat="false" ht="57.45" hidden="false" customHeight="false" outlineLevel="0" collapsed="false">
      <c r="A190" s="6" t="n">
        <v>189</v>
      </c>
      <c r="B190" s="7" t="s">
        <v>1263</v>
      </c>
      <c r="C190" s="7" t="s">
        <v>1283</v>
      </c>
      <c r="D190" s="8" t="n">
        <v>9.7</v>
      </c>
      <c r="E190" s="7" t="s">
        <v>172</v>
      </c>
      <c r="F190" s="7" t="s">
        <v>86</v>
      </c>
      <c r="G190" s="6" t="n">
        <v>10</v>
      </c>
      <c r="H190" s="7" t="s">
        <v>789</v>
      </c>
      <c r="I190" s="7"/>
      <c r="J190" s="7"/>
      <c r="K190" s="7" t="s">
        <v>371</v>
      </c>
      <c r="L190" s="9" t="n">
        <v>6790000</v>
      </c>
      <c r="M190" s="9"/>
      <c r="N190" s="9"/>
      <c r="O190" s="7" t="s">
        <v>817</v>
      </c>
      <c r="P190" s="7" t="s">
        <v>89</v>
      </c>
      <c r="Q190" s="7" t="s">
        <v>155</v>
      </c>
      <c r="R190" s="7" t="s">
        <v>1284</v>
      </c>
      <c r="S190" s="7" t="s">
        <v>1267</v>
      </c>
      <c r="T190" s="7"/>
      <c r="U190" s="10"/>
      <c r="V190" s="7"/>
      <c r="W190" s="7"/>
      <c r="X190" s="7"/>
      <c r="Y190" s="7"/>
      <c r="Z190" s="7"/>
      <c r="AA190" s="7"/>
      <c r="AB190" s="8"/>
      <c r="AC190" s="6"/>
      <c r="AD190" s="6"/>
      <c r="AE190" s="6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8"/>
      <c r="AR190" s="9" t="str">
        <f aca="false">IFERROR(VLOOKUP($X190,Lotes!$A:$E,5,FALSE())*$U190,"")</f>
        <v/>
      </c>
      <c r="AS190" s="9" t="n">
        <f aca="false">IF($L190="","",$L190*2.6)</f>
        <v>17654000</v>
      </c>
      <c r="AT190" s="9"/>
      <c r="AU190" s="9" t="n">
        <v>20370000</v>
      </c>
      <c r="AV190" s="9" t="n">
        <v>20370000</v>
      </c>
      <c r="AW190" s="9" t="n">
        <v>20370000</v>
      </c>
      <c r="AX190" s="7" t="s">
        <v>428</v>
      </c>
      <c r="AY190" s="7" t="s">
        <v>1268</v>
      </c>
      <c r="AZ190" s="7"/>
      <c r="BA190" s="7" t="s">
        <v>1285</v>
      </c>
      <c r="BB190" s="7" t="s">
        <v>1286</v>
      </c>
      <c r="BC190" s="11" t="s">
        <v>1287</v>
      </c>
      <c r="BD190" s="7" t="s">
        <v>98</v>
      </c>
      <c r="BE190" s="11" t="s">
        <v>1272</v>
      </c>
    </row>
    <row r="191" customFormat="false" ht="46.25" hidden="false" customHeight="false" outlineLevel="0" collapsed="false">
      <c r="A191" s="6" t="n">
        <v>190</v>
      </c>
      <c r="B191" s="7" t="s">
        <v>1263</v>
      </c>
      <c r="C191" s="7" t="s">
        <v>1288</v>
      </c>
      <c r="D191" s="8" t="n">
        <v>3.55</v>
      </c>
      <c r="E191" s="7" t="s">
        <v>172</v>
      </c>
      <c r="F191" s="7" t="s">
        <v>270</v>
      </c>
      <c r="G191" s="6" t="n">
        <v>2</v>
      </c>
      <c r="H191" s="7" t="s">
        <v>200</v>
      </c>
      <c r="I191" s="7"/>
      <c r="J191" s="7"/>
      <c r="K191" s="7" t="s">
        <v>88</v>
      </c>
      <c r="L191" s="9" t="n">
        <v>7100000</v>
      </c>
      <c r="M191" s="9"/>
      <c r="N191" s="9"/>
      <c r="O191" s="7" t="s">
        <v>817</v>
      </c>
      <c r="P191" s="7" t="s">
        <v>89</v>
      </c>
      <c r="Q191" s="7" t="s">
        <v>155</v>
      </c>
      <c r="R191" s="7" t="s">
        <v>1289</v>
      </c>
      <c r="S191" s="7" t="s">
        <v>1267</v>
      </c>
      <c r="T191" s="7"/>
      <c r="U191" s="10"/>
      <c r="V191" s="7"/>
      <c r="W191" s="7"/>
      <c r="X191" s="7"/>
      <c r="Y191" s="7"/>
      <c r="Z191" s="7"/>
      <c r="AA191" s="7"/>
      <c r="AB191" s="8"/>
      <c r="AC191" s="6"/>
      <c r="AD191" s="6"/>
      <c r="AE191" s="6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8"/>
      <c r="AR191" s="9" t="str">
        <f aca="false">IFERROR(VLOOKUP($X191,Lotes!$A:$E,5,FALSE())*$U191,"")</f>
        <v/>
      </c>
      <c r="AS191" s="9" t="n">
        <f aca="false">IF($L191="","",$L191*2.6)</f>
        <v>18460000</v>
      </c>
      <c r="AT191" s="9"/>
      <c r="AU191" s="9" t="n">
        <v>21300000</v>
      </c>
      <c r="AV191" s="9" t="n">
        <v>21300000</v>
      </c>
      <c r="AW191" s="9" t="n">
        <v>21300000</v>
      </c>
      <c r="AX191" s="7" t="s">
        <v>428</v>
      </c>
      <c r="AY191" s="7" t="s">
        <v>1268</v>
      </c>
      <c r="AZ191" s="7"/>
      <c r="BA191" s="7" t="s">
        <v>1290</v>
      </c>
      <c r="BB191" s="7" t="s">
        <v>1291</v>
      </c>
      <c r="BC191" s="11" t="s">
        <v>1292</v>
      </c>
      <c r="BD191" s="7" t="s">
        <v>98</v>
      </c>
      <c r="BE191" s="11" t="s">
        <v>1293</v>
      </c>
    </row>
    <row r="192" customFormat="false" ht="57.45" hidden="false" customHeight="false" outlineLevel="0" collapsed="false">
      <c r="A192" s="6" t="n">
        <v>191</v>
      </c>
      <c r="B192" s="7" t="s">
        <v>1263</v>
      </c>
      <c r="C192" s="7" t="s">
        <v>1294</v>
      </c>
      <c r="D192" s="8" t="n">
        <v>3.8</v>
      </c>
      <c r="E192" s="7" t="s">
        <v>386</v>
      </c>
      <c r="F192" s="7" t="s">
        <v>311</v>
      </c>
      <c r="G192" s="6" t="n">
        <v>1</v>
      </c>
      <c r="H192" s="7" t="s">
        <v>124</v>
      </c>
      <c r="I192" s="7" t="s">
        <v>271</v>
      </c>
      <c r="J192" s="7" t="s">
        <v>1295</v>
      </c>
      <c r="K192" s="7" t="s">
        <v>88</v>
      </c>
      <c r="L192" s="9" t="n">
        <v>76000000</v>
      </c>
      <c r="M192" s="9"/>
      <c r="N192" s="9"/>
      <c r="O192" s="7" t="s">
        <v>817</v>
      </c>
      <c r="P192" s="7" t="s">
        <v>89</v>
      </c>
      <c r="Q192" s="7" t="s">
        <v>155</v>
      </c>
      <c r="R192" s="7" t="s">
        <v>1296</v>
      </c>
      <c r="S192" s="7" t="s">
        <v>1267</v>
      </c>
      <c r="T192" s="7"/>
      <c r="U192" s="10"/>
      <c r="V192" s="7"/>
      <c r="W192" s="7"/>
      <c r="X192" s="7"/>
      <c r="Y192" s="7"/>
      <c r="Z192" s="7"/>
      <c r="AA192" s="7"/>
      <c r="AB192" s="8"/>
      <c r="AC192" s="6"/>
      <c r="AD192" s="6"/>
      <c r="AE192" s="6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8"/>
      <c r="AR192" s="9" t="str">
        <f aca="false">IFERROR(VLOOKUP($X192,Lotes!$A:$E,5,FALSE())*$U192,"")</f>
        <v/>
      </c>
      <c r="AS192" s="9" t="n">
        <f aca="false">IF($L192="","",$L192*2.6)</f>
        <v>197600000</v>
      </c>
      <c r="AT192" s="9"/>
      <c r="AU192" s="9" t="n">
        <v>228000000</v>
      </c>
      <c r="AV192" s="9" t="n">
        <v>228000000</v>
      </c>
      <c r="AW192" s="9" t="n">
        <v>228000000</v>
      </c>
      <c r="AX192" s="7" t="s">
        <v>428</v>
      </c>
      <c r="AY192" s="7" t="s">
        <v>1268</v>
      </c>
      <c r="AZ192" s="7"/>
      <c r="BA192" s="7" t="s">
        <v>1297</v>
      </c>
      <c r="BB192" s="7" t="s">
        <v>1298</v>
      </c>
      <c r="BC192" s="11" t="s">
        <v>1299</v>
      </c>
      <c r="BD192" s="7" t="s">
        <v>98</v>
      </c>
      <c r="BE192" s="11" t="s">
        <v>1272</v>
      </c>
    </row>
    <row r="193" customFormat="false" ht="46.25" hidden="false" customHeight="false" outlineLevel="0" collapsed="false">
      <c r="A193" s="6" t="n">
        <v>192</v>
      </c>
      <c r="B193" s="7" t="s">
        <v>1263</v>
      </c>
      <c r="C193" s="7" t="s">
        <v>1300</v>
      </c>
      <c r="D193" s="8" t="n">
        <v>15.35</v>
      </c>
      <c r="E193" s="7" t="s">
        <v>386</v>
      </c>
      <c r="F193" s="7" t="s">
        <v>680</v>
      </c>
      <c r="G193" s="6" t="n">
        <v>1</v>
      </c>
      <c r="H193" s="7" t="s">
        <v>87</v>
      </c>
      <c r="I193" s="7" t="s">
        <v>271</v>
      </c>
      <c r="J193" s="7" t="s">
        <v>1301</v>
      </c>
      <c r="K193" s="7" t="s">
        <v>88</v>
      </c>
      <c r="L193" s="9" t="n">
        <v>276300000</v>
      </c>
      <c r="M193" s="9"/>
      <c r="N193" s="9"/>
      <c r="O193" s="7" t="s">
        <v>817</v>
      </c>
      <c r="P193" s="7" t="s">
        <v>89</v>
      </c>
      <c r="Q193" s="7" t="s">
        <v>155</v>
      </c>
      <c r="R193" s="7" t="s">
        <v>1302</v>
      </c>
      <c r="S193" s="7" t="s">
        <v>1267</v>
      </c>
      <c r="T193" s="7"/>
      <c r="U193" s="10"/>
      <c r="V193" s="7"/>
      <c r="W193" s="7"/>
      <c r="X193" s="7"/>
      <c r="Y193" s="7"/>
      <c r="Z193" s="7"/>
      <c r="AA193" s="7"/>
      <c r="AB193" s="8"/>
      <c r="AC193" s="6"/>
      <c r="AD193" s="6"/>
      <c r="AE193" s="6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8"/>
      <c r="AR193" s="9" t="str">
        <f aca="false">IFERROR(VLOOKUP($X193,Lotes!$A:$E,5,FALSE())*$U193,"")</f>
        <v/>
      </c>
      <c r="AS193" s="9" t="n">
        <f aca="false">IF($L193="","",$L193*2.6)</f>
        <v>718380000</v>
      </c>
      <c r="AT193" s="9"/>
      <c r="AU193" s="9" t="n">
        <v>828900000</v>
      </c>
      <c r="AV193" s="9" t="n">
        <v>828900000</v>
      </c>
      <c r="AW193" s="9" t="n">
        <v>828900000</v>
      </c>
      <c r="AX193" s="7" t="s">
        <v>428</v>
      </c>
      <c r="AY193" s="7" t="s">
        <v>1268</v>
      </c>
      <c r="AZ193" s="7"/>
      <c r="BA193" s="7" t="s">
        <v>1303</v>
      </c>
      <c r="BB193" s="7" t="s">
        <v>1304</v>
      </c>
      <c r="BC193" s="11" t="s">
        <v>1305</v>
      </c>
      <c r="BD193" s="7" t="s">
        <v>98</v>
      </c>
      <c r="BE193" s="11" t="s">
        <v>1293</v>
      </c>
    </row>
    <row r="194" customFormat="false" ht="46.25" hidden="false" customHeight="false" outlineLevel="0" collapsed="false">
      <c r="A194" s="6" t="n">
        <v>193</v>
      </c>
      <c r="B194" s="7" t="s">
        <v>1263</v>
      </c>
      <c r="C194" s="7" t="s">
        <v>1306</v>
      </c>
      <c r="D194" s="8" t="n">
        <v>20.68</v>
      </c>
      <c r="E194" s="7" t="s">
        <v>386</v>
      </c>
      <c r="F194" s="7" t="s">
        <v>311</v>
      </c>
      <c r="G194" s="6" t="n">
        <v>4</v>
      </c>
      <c r="H194" s="7" t="s">
        <v>789</v>
      </c>
      <c r="I194" s="7"/>
      <c r="J194" s="7"/>
      <c r="K194" s="7" t="s">
        <v>371</v>
      </c>
      <c r="L194" s="9" t="n">
        <v>310200000</v>
      </c>
      <c r="M194" s="9"/>
      <c r="N194" s="9"/>
      <c r="O194" s="7" t="s">
        <v>817</v>
      </c>
      <c r="P194" s="7" t="s">
        <v>89</v>
      </c>
      <c r="Q194" s="7" t="s">
        <v>155</v>
      </c>
      <c r="R194" s="7" t="s">
        <v>1307</v>
      </c>
      <c r="S194" s="7" t="s">
        <v>1267</v>
      </c>
      <c r="T194" s="7"/>
      <c r="U194" s="10"/>
      <c r="V194" s="7"/>
      <c r="W194" s="7"/>
      <c r="X194" s="7"/>
      <c r="Y194" s="7"/>
      <c r="Z194" s="7"/>
      <c r="AA194" s="7"/>
      <c r="AB194" s="8"/>
      <c r="AC194" s="6"/>
      <c r="AD194" s="6"/>
      <c r="AE194" s="6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8"/>
      <c r="AR194" s="9" t="str">
        <f aca="false">IFERROR(VLOOKUP($X194,Lotes!$A:$E,5,FALSE())*$U194,"")</f>
        <v/>
      </c>
      <c r="AS194" s="9" t="n">
        <f aca="false">IF($L194="","",$L194*2.6)</f>
        <v>806520000</v>
      </c>
      <c r="AT194" s="9"/>
      <c r="AU194" s="9" t="n">
        <v>930600000</v>
      </c>
      <c r="AV194" s="9" t="n">
        <v>930600000</v>
      </c>
      <c r="AW194" s="9" t="n">
        <v>930600000</v>
      </c>
      <c r="AX194" s="7" t="s">
        <v>428</v>
      </c>
      <c r="AY194" s="7" t="s">
        <v>1268</v>
      </c>
      <c r="AZ194" s="7"/>
      <c r="BA194" s="7" t="s">
        <v>1308</v>
      </c>
      <c r="BB194" s="7" t="s">
        <v>1309</v>
      </c>
      <c r="BC194" s="11" t="s">
        <v>1310</v>
      </c>
      <c r="BD194" s="7" t="s">
        <v>98</v>
      </c>
      <c r="BE194" s="11" t="s">
        <v>1293</v>
      </c>
    </row>
    <row r="195" customFormat="false" ht="46.25" hidden="false" customHeight="false" outlineLevel="0" collapsed="false">
      <c r="A195" s="6" t="n">
        <v>194</v>
      </c>
      <c r="B195" s="7" t="s">
        <v>1263</v>
      </c>
      <c r="C195" s="7" t="s">
        <v>1311</v>
      </c>
      <c r="D195" s="8" t="n">
        <v>13.58</v>
      </c>
      <c r="E195" s="7" t="s">
        <v>386</v>
      </c>
      <c r="F195" s="7" t="s">
        <v>680</v>
      </c>
      <c r="G195" s="6" t="n">
        <v>5</v>
      </c>
      <c r="H195" s="7" t="s">
        <v>789</v>
      </c>
      <c r="I195" s="7"/>
      <c r="J195" s="7"/>
      <c r="K195" s="7" t="s">
        <v>371</v>
      </c>
      <c r="L195" s="9" t="n">
        <v>203700000</v>
      </c>
      <c r="M195" s="9"/>
      <c r="N195" s="9"/>
      <c r="O195" s="7" t="s">
        <v>817</v>
      </c>
      <c r="P195" s="7" t="s">
        <v>89</v>
      </c>
      <c r="Q195" s="7" t="s">
        <v>155</v>
      </c>
      <c r="R195" s="7" t="s">
        <v>1312</v>
      </c>
      <c r="S195" s="7" t="s">
        <v>1267</v>
      </c>
      <c r="T195" s="7"/>
      <c r="U195" s="10"/>
      <c r="V195" s="7"/>
      <c r="W195" s="7"/>
      <c r="X195" s="7"/>
      <c r="Y195" s="7"/>
      <c r="Z195" s="7"/>
      <c r="AA195" s="7"/>
      <c r="AB195" s="8"/>
      <c r="AC195" s="6"/>
      <c r="AD195" s="6"/>
      <c r="AE195" s="6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8"/>
      <c r="AR195" s="9" t="str">
        <f aca="false">IFERROR(VLOOKUP($X195,Lotes!$A:$E,5,FALSE())*$U195,"")</f>
        <v/>
      </c>
      <c r="AS195" s="9" t="n">
        <f aca="false">IF($L195="","",$L195*2.6)</f>
        <v>529620000</v>
      </c>
      <c r="AT195" s="9"/>
      <c r="AU195" s="9" t="n">
        <v>611100000</v>
      </c>
      <c r="AV195" s="9" t="n">
        <v>611100000</v>
      </c>
      <c r="AW195" s="9" t="n">
        <v>611100000</v>
      </c>
      <c r="AX195" s="7" t="s">
        <v>428</v>
      </c>
      <c r="AY195" s="7" t="s">
        <v>1268</v>
      </c>
      <c r="AZ195" s="7"/>
      <c r="BA195" s="7" t="s">
        <v>1313</v>
      </c>
      <c r="BB195" s="7" t="s">
        <v>1314</v>
      </c>
      <c r="BC195" s="11" t="s">
        <v>1315</v>
      </c>
      <c r="BD195" s="7" t="s">
        <v>98</v>
      </c>
      <c r="BE195" s="11" t="s">
        <v>1293</v>
      </c>
    </row>
    <row r="196" customFormat="false" ht="57.45" hidden="false" customHeight="false" outlineLevel="0" collapsed="false">
      <c r="A196" s="6" t="n">
        <v>195</v>
      </c>
      <c r="B196" s="7" t="s">
        <v>1263</v>
      </c>
      <c r="C196" s="7" t="s">
        <v>1316</v>
      </c>
      <c r="D196" s="8" t="n">
        <v>4.03</v>
      </c>
      <c r="E196" s="7" t="s">
        <v>386</v>
      </c>
      <c r="F196" s="7" t="s">
        <v>680</v>
      </c>
      <c r="G196" s="6" t="n">
        <v>2</v>
      </c>
      <c r="H196" s="7" t="s">
        <v>124</v>
      </c>
      <c r="I196" s="7"/>
      <c r="J196" s="7"/>
      <c r="K196" s="7" t="s">
        <v>88</v>
      </c>
      <c r="L196" s="9" t="n">
        <v>141050000</v>
      </c>
      <c r="M196" s="9"/>
      <c r="N196" s="9"/>
      <c r="O196" s="7" t="s">
        <v>817</v>
      </c>
      <c r="P196" s="7" t="s">
        <v>89</v>
      </c>
      <c r="Q196" s="7" t="s">
        <v>155</v>
      </c>
      <c r="R196" s="7" t="s">
        <v>1317</v>
      </c>
      <c r="S196" s="7" t="s">
        <v>1267</v>
      </c>
      <c r="T196" s="7"/>
      <c r="U196" s="10"/>
      <c r="V196" s="7"/>
      <c r="W196" s="7"/>
      <c r="X196" s="7"/>
      <c r="Y196" s="7"/>
      <c r="Z196" s="7"/>
      <c r="AA196" s="7"/>
      <c r="AB196" s="8"/>
      <c r="AC196" s="6"/>
      <c r="AD196" s="6"/>
      <c r="AE196" s="6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8"/>
      <c r="AR196" s="9" t="str">
        <f aca="false">IFERROR(VLOOKUP($X196,Lotes!$A:$E,5,FALSE())*$U196,"")</f>
        <v/>
      </c>
      <c r="AS196" s="9" t="n">
        <f aca="false">IF($L196="","",$L196*2.6)</f>
        <v>366730000</v>
      </c>
      <c r="AT196" s="9"/>
      <c r="AU196" s="9" t="n">
        <v>423150000</v>
      </c>
      <c r="AV196" s="9" t="n">
        <v>423150000</v>
      </c>
      <c r="AW196" s="9" t="n">
        <v>423150000</v>
      </c>
      <c r="AX196" s="7" t="s">
        <v>428</v>
      </c>
      <c r="AY196" s="7" t="s">
        <v>1268</v>
      </c>
      <c r="AZ196" s="7"/>
      <c r="BA196" s="7" t="s">
        <v>1318</v>
      </c>
      <c r="BB196" s="7" t="s">
        <v>1319</v>
      </c>
      <c r="BC196" s="11" t="s">
        <v>1320</v>
      </c>
      <c r="BD196" s="7" t="s">
        <v>98</v>
      </c>
      <c r="BE196" s="11" t="s">
        <v>1272</v>
      </c>
    </row>
    <row r="197" customFormat="false" ht="57.45" hidden="false" customHeight="false" outlineLevel="0" collapsed="false">
      <c r="A197" s="6" t="n">
        <v>196</v>
      </c>
      <c r="B197" s="7" t="s">
        <v>1263</v>
      </c>
      <c r="C197" s="7" t="s">
        <v>1321</v>
      </c>
      <c r="D197" s="8" t="n">
        <v>17.2</v>
      </c>
      <c r="E197" s="7" t="s">
        <v>85</v>
      </c>
      <c r="F197" s="7" t="s">
        <v>123</v>
      </c>
      <c r="G197" s="6" t="n">
        <v>1</v>
      </c>
      <c r="H197" s="7" t="s">
        <v>87</v>
      </c>
      <c r="I197" s="7" t="s">
        <v>271</v>
      </c>
      <c r="J197" s="7" t="s">
        <v>1322</v>
      </c>
      <c r="K197" s="7" t="s">
        <v>88</v>
      </c>
      <c r="L197" s="9" t="n">
        <v>16000000</v>
      </c>
      <c r="M197" s="9"/>
      <c r="N197" s="9"/>
      <c r="O197" s="7" t="s">
        <v>817</v>
      </c>
      <c r="P197" s="7" t="s">
        <v>89</v>
      </c>
      <c r="Q197" s="7" t="s">
        <v>155</v>
      </c>
      <c r="R197" s="7" t="s">
        <v>1323</v>
      </c>
      <c r="S197" s="7" t="s">
        <v>1324</v>
      </c>
      <c r="T197" s="7"/>
      <c r="U197" s="10"/>
      <c r="V197" s="7"/>
      <c r="W197" s="7"/>
      <c r="X197" s="7"/>
      <c r="Y197" s="7"/>
      <c r="Z197" s="7"/>
      <c r="AA197" s="7"/>
      <c r="AB197" s="8"/>
      <c r="AC197" s="6"/>
      <c r="AD197" s="6"/>
      <c r="AE197" s="6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8"/>
      <c r="AR197" s="9" t="str">
        <f aca="false">IFERROR(VLOOKUP($X197,Lotes!$A:$E,5,FALSE())*$U197,"")</f>
        <v/>
      </c>
      <c r="AS197" s="9" t="n">
        <f aca="false">IF($L197="","",$L197*2.6)</f>
        <v>41600000</v>
      </c>
      <c r="AT197" s="9"/>
      <c r="AU197" s="9" t="n">
        <v>48000000</v>
      </c>
      <c r="AV197" s="9" t="n">
        <v>48000000</v>
      </c>
      <c r="AW197" s="9" t="n">
        <v>48000000</v>
      </c>
      <c r="AX197" s="7" t="s">
        <v>428</v>
      </c>
      <c r="AY197" s="7" t="s">
        <v>1268</v>
      </c>
      <c r="AZ197" s="7"/>
      <c r="BA197" s="7" t="s">
        <v>1325</v>
      </c>
      <c r="BB197" s="7" t="s">
        <v>1326</v>
      </c>
      <c r="BC197" s="11" t="s">
        <v>1327</v>
      </c>
      <c r="BD197" s="7" t="s">
        <v>98</v>
      </c>
      <c r="BE197" s="11" t="s">
        <v>1272</v>
      </c>
    </row>
    <row r="198" customFormat="false" ht="46.25" hidden="false" customHeight="false" outlineLevel="0" collapsed="false">
      <c r="A198" s="6" t="n">
        <v>197</v>
      </c>
      <c r="B198" s="7" t="s">
        <v>1263</v>
      </c>
      <c r="C198" s="7" t="s">
        <v>1328</v>
      </c>
      <c r="D198" s="8" t="n">
        <v>16.28</v>
      </c>
      <c r="E198" s="7" t="s">
        <v>245</v>
      </c>
      <c r="F198" s="7" t="s">
        <v>123</v>
      </c>
      <c r="G198" s="6" t="n">
        <v>1</v>
      </c>
      <c r="H198" s="7" t="s">
        <v>404</v>
      </c>
      <c r="I198" s="7" t="s">
        <v>271</v>
      </c>
      <c r="J198" s="7" t="s">
        <v>1329</v>
      </c>
      <c r="K198" s="7" t="s">
        <v>88</v>
      </c>
      <c r="L198" s="9" t="n">
        <v>6000000</v>
      </c>
      <c r="M198" s="9"/>
      <c r="N198" s="9"/>
      <c r="O198" s="7" t="s">
        <v>817</v>
      </c>
      <c r="P198" s="7" t="s">
        <v>89</v>
      </c>
      <c r="Q198" s="7" t="s">
        <v>155</v>
      </c>
      <c r="R198" s="7" t="s">
        <v>1330</v>
      </c>
      <c r="S198" s="7" t="s">
        <v>1324</v>
      </c>
      <c r="T198" s="7"/>
      <c r="U198" s="10"/>
      <c r="V198" s="7"/>
      <c r="W198" s="7"/>
      <c r="X198" s="7"/>
      <c r="Y198" s="7"/>
      <c r="Z198" s="7"/>
      <c r="AA198" s="7"/>
      <c r="AB198" s="8"/>
      <c r="AC198" s="6"/>
      <c r="AD198" s="6"/>
      <c r="AE198" s="6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8"/>
      <c r="AR198" s="9" t="str">
        <f aca="false">IFERROR(VLOOKUP($X198,Lotes!$A:$E,5,FALSE())*$U198,"")</f>
        <v/>
      </c>
      <c r="AS198" s="9" t="n">
        <f aca="false">IF($L198="","",$L198*2.6)</f>
        <v>15600000</v>
      </c>
      <c r="AT198" s="9"/>
      <c r="AU198" s="9" t="n">
        <v>18000000</v>
      </c>
      <c r="AV198" s="9" t="n">
        <v>18000000</v>
      </c>
      <c r="AW198" s="9" t="n">
        <v>18000000</v>
      </c>
      <c r="AX198" s="7" t="s">
        <v>428</v>
      </c>
      <c r="AY198" s="7" t="s">
        <v>1268</v>
      </c>
      <c r="AZ198" s="7"/>
      <c r="BA198" s="7" t="s">
        <v>1331</v>
      </c>
      <c r="BB198" s="7" t="s">
        <v>1332</v>
      </c>
      <c r="BC198" s="11" t="s">
        <v>1333</v>
      </c>
      <c r="BD198" s="7" t="s">
        <v>98</v>
      </c>
      <c r="BE198" s="11" t="s">
        <v>1293</v>
      </c>
    </row>
    <row r="199" customFormat="false" ht="57.45" hidden="false" customHeight="false" outlineLevel="0" collapsed="false">
      <c r="A199" s="6" t="n">
        <v>198</v>
      </c>
      <c r="B199" s="7" t="s">
        <v>1263</v>
      </c>
      <c r="C199" s="7" t="s">
        <v>1334</v>
      </c>
      <c r="D199" s="8" t="n">
        <v>10.4</v>
      </c>
      <c r="E199" s="7" t="s">
        <v>85</v>
      </c>
      <c r="F199" s="7" t="s">
        <v>270</v>
      </c>
      <c r="G199" s="6" t="n">
        <v>3</v>
      </c>
      <c r="H199" s="7" t="s">
        <v>200</v>
      </c>
      <c r="I199" s="7" t="s">
        <v>271</v>
      </c>
      <c r="J199" s="7" t="s">
        <v>1335</v>
      </c>
      <c r="K199" s="7" t="s">
        <v>371</v>
      </c>
      <c r="L199" s="9" t="n">
        <v>53000000</v>
      </c>
      <c r="M199" s="9"/>
      <c r="N199" s="9"/>
      <c r="O199" s="7" t="s">
        <v>817</v>
      </c>
      <c r="P199" s="7" t="s">
        <v>89</v>
      </c>
      <c r="Q199" s="7" t="s">
        <v>155</v>
      </c>
      <c r="R199" s="7" t="s">
        <v>1336</v>
      </c>
      <c r="S199" s="7" t="s">
        <v>1324</v>
      </c>
      <c r="T199" s="7"/>
      <c r="U199" s="10"/>
      <c r="V199" s="7"/>
      <c r="W199" s="7"/>
      <c r="X199" s="7"/>
      <c r="Y199" s="7"/>
      <c r="Z199" s="7"/>
      <c r="AA199" s="7"/>
      <c r="AB199" s="8"/>
      <c r="AC199" s="6"/>
      <c r="AD199" s="6"/>
      <c r="AE199" s="6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8"/>
      <c r="AR199" s="9" t="str">
        <f aca="false">IFERROR(VLOOKUP($X199,Lotes!$A:$E,5,FALSE())*$U199,"")</f>
        <v/>
      </c>
      <c r="AS199" s="9" t="n">
        <f aca="false">IF($L199="","",$L199*2.6)</f>
        <v>137800000</v>
      </c>
      <c r="AT199" s="9"/>
      <c r="AU199" s="9" t="n">
        <v>159000000</v>
      </c>
      <c r="AV199" s="9" t="n">
        <v>159000000</v>
      </c>
      <c r="AW199" s="9" t="n">
        <v>159000000</v>
      </c>
      <c r="AX199" s="7" t="s">
        <v>428</v>
      </c>
      <c r="AY199" s="7" t="s">
        <v>1268</v>
      </c>
      <c r="AZ199" s="7"/>
      <c r="BA199" s="7" t="s">
        <v>1337</v>
      </c>
      <c r="BB199" s="7" t="s">
        <v>1338</v>
      </c>
      <c r="BC199" s="11" t="s">
        <v>1339</v>
      </c>
      <c r="BD199" s="7" t="s">
        <v>98</v>
      </c>
      <c r="BE199" s="11" t="s">
        <v>1272</v>
      </c>
    </row>
    <row r="200" customFormat="false" ht="46.25" hidden="false" customHeight="false" outlineLevel="0" collapsed="false">
      <c r="A200" s="6" t="n">
        <v>199</v>
      </c>
      <c r="B200" s="7" t="s">
        <v>1263</v>
      </c>
      <c r="C200" s="7" t="s">
        <v>1340</v>
      </c>
      <c r="D200" s="8" t="n">
        <v>4.47</v>
      </c>
      <c r="E200" s="7" t="s">
        <v>403</v>
      </c>
      <c r="F200" s="7" t="s">
        <v>270</v>
      </c>
      <c r="G200" s="6" t="n">
        <v>1</v>
      </c>
      <c r="H200" s="7" t="s">
        <v>404</v>
      </c>
      <c r="I200" s="7" t="s">
        <v>271</v>
      </c>
      <c r="J200" s="7" t="s">
        <v>1341</v>
      </c>
      <c r="K200" s="7" t="s">
        <v>88</v>
      </c>
      <c r="L200" s="9" t="n">
        <v>7200000</v>
      </c>
      <c r="M200" s="9"/>
      <c r="N200" s="9"/>
      <c r="O200" s="7" t="s">
        <v>817</v>
      </c>
      <c r="P200" s="7" t="s">
        <v>89</v>
      </c>
      <c r="Q200" s="7" t="s">
        <v>155</v>
      </c>
      <c r="R200" s="7" t="s">
        <v>1342</v>
      </c>
      <c r="S200" s="7" t="s">
        <v>1324</v>
      </c>
      <c r="T200" s="7"/>
      <c r="U200" s="10"/>
      <c r="V200" s="7"/>
      <c r="W200" s="7"/>
      <c r="X200" s="7"/>
      <c r="Y200" s="7"/>
      <c r="Z200" s="7"/>
      <c r="AA200" s="7"/>
      <c r="AB200" s="8"/>
      <c r="AC200" s="6"/>
      <c r="AD200" s="6"/>
      <c r="AE200" s="6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8"/>
      <c r="AR200" s="9" t="str">
        <f aca="false">IFERROR(VLOOKUP($X200,Lotes!$A:$E,5,FALSE())*$U200,"")</f>
        <v/>
      </c>
      <c r="AS200" s="9" t="n">
        <f aca="false">IF($L200="","",$L200*2.6)</f>
        <v>18720000</v>
      </c>
      <c r="AT200" s="9"/>
      <c r="AU200" s="9" t="n">
        <v>21600000</v>
      </c>
      <c r="AV200" s="9" t="n">
        <v>21600000</v>
      </c>
      <c r="AW200" s="9" t="n">
        <v>21600000</v>
      </c>
      <c r="AX200" s="7" t="s">
        <v>428</v>
      </c>
      <c r="AY200" s="7" t="s">
        <v>1268</v>
      </c>
      <c r="AZ200" s="7"/>
      <c r="BA200" s="7" t="s">
        <v>1343</v>
      </c>
      <c r="BB200" s="7" t="s">
        <v>1344</v>
      </c>
      <c r="BC200" s="11" t="s">
        <v>1345</v>
      </c>
      <c r="BD200" s="7" t="s">
        <v>98</v>
      </c>
      <c r="BE200" s="11" t="s">
        <v>1293</v>
      </c>
    </row>
    <row r="201" customFormat="false" ht="57.45" hidden="false" customHeight="false" outlineLevel="0" collapsed="false">
      <c r="A201" s="6" t="n">
        <v>200</v>
      </c>
      <c r="B201" s="7" t="s">
        <v>1263</v>
      </c>
      <c r="C201" s="7" t="s">
        <v>1346</v>
      </c>
      <c r="D201" s="8" t="n">
        <v>28.03</v>
      </c>
      <c r="E201" s="7" t="s">
        <v>85</v>
      </c>
      <c r="F201" s="7" t="s">
        <v>123</v>
      </c>
      <c r="G201" s="6" t="n">
        <v>1</v>
      </c>
      <c r="H201" s="7" t="s">
        <v>178</v>
      </c>
      <c r="I201" s="7" t="s">
        <v>271</v>
      </c>
      <c r="J201" s="7" t="s">
        <v>1347</v>
      </c>
      <c r="K201" s="7" t="s">
        <v>88</v>
      </c>
      <c r="L201" s="9" t="n">
        <v>32000000</v>
      </c>
      <c r="M201" s="9"/>
      <c r="N201" s="9"/>
      <c r="O201" s="7" t="s">
        <v>817</v>
      </c>
      <c r="P201" s="7" t="s">
        <v>89</v>
      </c>
      <c r="Q201" s="7" t="s">
        <v>155</v>
      </c>
      <c r="R201" s="7" t="s">
        <v>1348</v>
      </c>
      <c r="S201" s="7" t="s">
        <v>1324</v>
      </c>
      <c r="T201" s="7"/>
      <c r="U201" s="10"/>
      <c r="V201" s="7"/>
      <c r="W201" s="7"/>
      <c r="X201" s="7"/>
      <c r="Y201" s="7"/>
      <c r="Z201" s="7"/>
      <c r="AA201" s="7"/>
      <c r="AB201" s="8"/>
      <c r="AC201" s="6"/>
      <c r="AD201" s="6"/>
      <c r="AE201" s="6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8"/>
      <c r="AR201" s="9" t="str">
        <f aca="false">IFERROR(VLOOKUP($X201,Lotes!$A:$E,5,FALSE())*$U201,"")</f>
        <v/>
      </c>
      <c r="AS201" s="9" t="n">
        <f aca="false">IF($L201="","",$L201*2.6)</f>
        <v>83200000</v>
      </c>
      <c r="AT201" s="9"/>
      <c r="AU201" s="9" t="n">
        <v>96000000</v>
      </c>
      <c r="AV201" s="9" t="n">
        <v>96000000</v>
      </c>
      <c r="AW201" s="9" t="n">
        <v>96000000</v>
      </c>
      <c r="AX201" s="7" t="s">
        <v>428</v>
      </c>
      <c r="AY201" s="7" t="s">
        <v>1268</v>
      </c>
      <c r="AZ201" s="7"/>
      <c r="BA201" s="7" t="s">
        <v>1349</v>
      </c>
      <c r="BB201" s="7" t="s">
        <v>1350</v>
      </c>
      <c r="BC201" s="11" t="s">
        <v>1351</v>
      </c>
      <c r="BD201" s="7" t="s">
        <v>98</v>
      </c>
      <c r="BE201" s="11" t="s">
        <v>1272</v>
      </c>
    </row>
    <row r="202" customFormat="false" ht="46.25" hidden="false" customHeight="false" outlineLevel="0" collapsed="false">
      <c r="A202" s="6" t="n">
        <v>201</v>
      </c>
      <c r="B202" s="7" t="s">
        <v>1263</v>
      </c>
      <c r="C202" s="7" t="s">
        <v>1352</v>
      </c>
      <c r="D202" s="8" t="n">
        <v>2.98</v>
      </c>
      <c r="E202" s="7" t="s">
        <v>245</v>
      </c>
      <c r="F202" s="7" t="s">
        <v>123</v>
      </c>
      <c r="G202" s="6" t="n">
        <v>1</v>
      </c>
      <c r="H202" s="7" t="s">
        <v>87</v>
      </c>
      <c r="I202" s="7" t="s">
        <v>271</v>
      </c>
      <c r="J202" s="7" t="s">
        <v>1353</v>
      </c>
      <c r="K202" s="7" t="s">
        <v>88</v>
      </c>
      <c r="L202" s="9" t="n">
        <v>30000000</v>
      </c>
      <c r="M202" s="9"/>
      <c r="N202" s="9"/>
      <c r="O202" s="7" t="s">
        <v>817</v>
      </c>
      <c r="P202" s="7" t="s">
        <v>89</v>
      </c>
      <c r="Q202" s="7" t="s">
        <v>155</v>
      </c>
      <c r="R202" s="7" t="s">
        <v>1354</v>
      </c>
      <c r="S202" s="7" t="s">
        <v>1324</v>
      </c>
      <c r="T202" s="7"/>
      <c r="U202" s="10"/>
      <c r="V202" s="7"/>
      <c r="W202" s="7"/>
      <c r="X202" s="7"/>
      <c r="Y202" s="7"/>
      <c r="Z202" s="7"/>
      <c r="AA202" s="7"/>
      <c r="AB202" s="8"/>
      <c r="AC202" s="6"/>
      <c r="AD202" s="6"/>
      <c r="AE202" s="6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8"/>
      <c r="AR202" s="9" t="str">
        <f aca="false">IFERROR(VLOOKUP($X202,Lotes!$A:$E,5,FALSE())*$U202,"")</f>
        <v/>
      </c>
      <c r="AS202" s="9" t="n">
        <f aca="false">IF($L202="","",$L202*2.6)</f>
        <v>78000000</v>
      </c>
      <c r="AT202" s="9"/>
      <c r="AU202" s="9" t="n">
        <v>90000000</v>
      </c>
      <c r="AV202" s="9" t="n">
        <v>90000000</v>
      </c>
      <c r="AW202" s="9" t="n">
        <v>90000000</v>
      </c>
      <c r="AX202" s="7" t="s">
        <v>428</v>
      </c>
      <c r="AY202" s="7" t="s">
        <v>1268</v>
      </c>
      <c r="AZ202" s="7"/>
      <c r="BA202" s="7" t="s">
        <v>1355</v>
      </c>
      <c r="BB202" s="7" t="s">
        <v>1356</v>
      </c>
      <c r="BC202" s="11" t="s">
        <v>1357</v>
      </c>
      <c r="BD202" s="7" t="s">
        <v>98</v>
      </c>
      <c r="BE202" s="11" t="s">
        <v>1293</v>
      </c>
    </row>
    <row r="203" customFormat="false" ht="46.25" hidden="false" customHeight="false" outlineLevel="0" collapsed="false">
      <c r="A203" s="6" t="n">
        <v>202</v>
      </c>
      <c r="B203" s="7" t="s">
        <v>1263</v>
      </c>
      <c r="C203" s="7" t="s">
        <v>1358</v>
      </c>
      <c r="D203" s="8" t="n">
        <v>2.95</v>
      </c>
      <c r="E203" s="7" t="s">
        <v>386</v>
      </c>
      <c r="F203" s="7" t="s">
        <v>680</v>
      </c>
      <c r="G203" s="6" t="n">
        <v>1</v>
      </c>
      <c r="H203" s="7" t="s">
        <v>124</v>
      </c>
      <c r="I203" s="7" t="s">
        <v>271</v>
      </c>
      <c r="J203" s="7" t="s">
        <v>1359</v>
      </c>
      <c r="K203" s="7" t="s">
        <v>88</v>
      </c>
      <c r="L203" s="9" t="n">
        <v>35000000</v>
      </c>
      <c r="M203" s="9"/>
      <c r="N203" s="9"/>
      <c r="O203" s="7" t="s">
        <v>817</v>
      </c>
      <c r="P203" s="7" t="s">
        <v>89</v>
      </c>
      <c r="Q203" s="7" t="s">
        <v>155</v>
      </c>
      <c r="R203" s="7" t="s">
        <v>1360</v>
      </c>
      <c r="S203" s="7" t="s">
        <v>1324</v>
      </c>
      <c r="T203" s="7"/>
      <c r="U203" s="10"/>
      <c r="V203" s="7"/>
      <c r="W203" s="7"/>
      <c r="X203" s="7"/>
      <c r="Y203" s="7"/>
      <c r="Z203" s="7"/>
      <c r="AA203" s="7"/>
      <c r="AB203" s="8"/>
      <c r="AC203" s="6"/>
      <c r="AD203" s="6"/>
      <c r="AE203" s="6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8"/>
      <c r="AR203" s="9" t="str">
        <f aca="false">IFERROR(VLOOKUP($X203,Lotes!$A:$E,5,FALSE())*$U203,"")</f>
        <v/>
      </c>
      <c r="AS203" s="9" t="n">
        <f aca="false">IF($L203="","",$L203*2.6)</f>
        <v>91000000</v>
      </c>
      <c r="AT203" s="9"/>
      <c r="AU203" s="9" t="n">
        <v>105000000</v>
      </c>
      <c r="AV203" s="9" t="n">
        <v>105000000</v>
      </c>
      <c r="AW203" s="9" t="n">
        <v>105000000</v>
      </c>
      <c r="AX203" s="7" t="s">
        <v>428</v>
      </c>
      <c r="AY203" s="7" t="s">
        <v>1268</v>
      </c>
      <c r="AZ203" s="7"/>
      <c r="BA203" s="7" t="s">
        <v>1361</v>
      </c>
      <c r="BB203" s="7" t="s">
        <v>1362</v>
      </c>
      <c r="BC203" s="11" t="s">
        <v>1363</v>
      </c>
      <c r="BD203" s="7" t="s">
        <v>98</v>
      </c>
      <c r="BE203" s="11" t="s">
        <v>1293</v>
      </c>
    </row>
    <row r="204" customFormat="false" ht="46.25" hidden="false" customHeight="false" outlineLevel="0" collapsed="false">
      <c r="A204" s="6" t="n">
        <v>203</v>
      </c>
      <c r="B204" s="7" t="s">
        <v>1263</v>
      </c>
      <c r="C204" s="7" t="s">
        <v>1364</v>
      </c>
      <c r="D204" s="8" t="n">
        <v>10.76</v>
      </c>
      <c r="E204" s="7" t="s">
        <v>386</v>
      </c>
      <c r="F204" s="7" t="s">
        <v>311</v>
      </c>
      <c r="G204" s="6" t="n">
        <v>1</v>
      </c>
      <c r="H204" s="7" t="s">
        <v>404</v>
      </c>
      <c r="I204" s="7" t="s">
        <v>271</v>
      </c>
      <c r="J204" s="7" t="s">
        <v>1365</v>
      </c>
      <c r="K204" s="7" t="s">
        <v>88</v>
      </c>
      <c r="L204" s="9" t="n">
        <v>85000000</v>
      </c>
      <c r="M204" s="9"/>
      <c r="N204" s="9"/>
      <c r="O204" s="7" t="s">
        <v>817</v>
      </c>
      <c r="P204" s="7" t="s">
        <v>89</v>
      </c>
      <c r="Q204" s="7" t="s">
        <v>155</v>
      </c>
      <c r="R204" s="7" t="s">
        <v>1366</v>
      </c>
      <c r="S204" s="7" t="s">
        <v>1324</v>
      </c>
      <c r="T204" s="7"/>
      <c r="U204" s="10"/>
      <c r="V204" s="7"/>
      <c r="W204" s="7"/>
      <c r="X204" s="7"/>
      <c r="Y204" s="7"/>
      <c r="Z204" s="7"/>
      <c r="AA204" s="7"/>
      <c r="AB204" s="8"/>
      <c r="AC204" s="6"/>
      <c r="AD204" s="6"/>
      <c r="AE204" s="6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8"/>
      <c r="AR204" s="9" t="str">
        <f aca="false">IFERROR(VLOOKUP($X204,Lotes!$A:$E,5,FALSE())*$U204,"")</f>
        <v/>
      </c>
      <c r="AS204" s="9" t="n">
        <f aca="false">IF($L204="","",$L204*2.6)</f>
        <v>221000000</v>
      </c>
      <c r="AT204" s="9"/>
      <c r="AU204" s="9" t="n">
        <v>255000000</v>
      </c>
      <c r="AV204" s="9" t="n">
        <v>255000000</v>
      </c>
      <c r="AW204" s="9" t="n">
        <v>255000000</v>
      </c>
      <c r="AX204" s="7" t="s">
        <v>428</v>
      </c>
      <c r="AY204" s="7" t="s">
        <v>1268</v>
      </c>
      <c r="AZ204" s="7"/>
      <c r="BA204" s="7" t="s">
        <v>1367</v>
      </c>
      <c r="BB204" s="7" t="s">
        <v>1368</v>
      </c>
      <c r="BC204" s="11" t="s">
        <v>1369</v>
      </c>
      <c r="BD204" s="7" t="s">
        <v>98</v>
      </c>
      <c r="BE204" s="11" t="s">
        <v>1293</v>
      </c>
    </row>
    <row r="205" customFormat="false" ht="46.25" hidden="false" customHeight="false" outlineLevel="0" collapsed="false">
      <c r="A205" s="6" t="n">
        <v>204</v>
      </c>
      <c r="B205" s="7" t="s">
        <v>1263</v>
      </c>
      <c r="C205" s="7" t="s">
        <v>1370</v>
      </c>
      <c r="D205" s="8" t="n">
        <v>1.94</v>
      </c>
      <c r="E205" s="7" t="s">
        <v>403</v>
      </c>
      <c r="F205" s="7" t="s">
        <v>86</v>
      </c>
      <c r="G205" s="6" t="n">
        <v>2</v>
      </c>
      <c r="H205" s="7" t="s">
        <v>200</v>
      </c>
      <c r="I205" s="7"/>
      <c r="J205" s="7"/>
      <c r="K205" s="7" t="s">
        <v>371</v>
      </c>
      <c r="L205" s="9" t="n">
        <v>1500000</v>
      </c>
      <c r="M205" s="9"/>
      <c r="N205" s="9"/>
      <c r="O205" s="7" t="s">
        <v>817</v>
      </c>
      <c r="P205" s="7" t="s">
        <v>89</v>
      </c>
      <c r="Q205" s="7" t="s">
        <v>155</v>
      </c>
      <c r="R205" s="7" t="s">
        <v>1371</v>
      </c>
      <c r="S205" s="7" t="s">
        <v>1324</v>
      </c>
      <c r="T205" s="7"/>
      <c r="U205" s="10"/>
      <c r="V205" s="7"/>
      <c r="W205" s="7"/>
      <c r="X205" s="7"/>
      <c r="Y205" s="7"/>
      <c r="Z205" s="7"/>
      <c r="AA205" s="7"/>
      <c r="AB205" s="8"/>
      <c r="AC205" s="6"/>
      <c r="AD205" s="6"/>
      <c r="AE205" s="6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8"/>
      <c r="AR205" s="9" t="str">
        <f aca="false">IFERROR(VLOOKUP($X205,Lotes!$A:$E,5,FALSE())*$U205,"")</f>
        <v/>
      </c>
      <c r="AS205" s="9" t="n">
        <f aca="false">IF($L205="","",$L205*2.6)</f>
        <v>3900000</v>
      </c>
      <c r="AT205" s="9"/>
      <c r="AU205" s="9" t="n">
        <v>4500000</v>
      </c>
      <c r="AV205" s="9" t="n">
        <v>4500000</v>
      </c>
      <c r="AW205" s="9" t="n">
        <v>4500000</v>
      </c>
      <c r="AX205" s="7" t="s">
        <v>428</v>
      </c>
      <c r="AY205" s="7" t="s">
        <v>1268</v>
      </c>
      <c r="AZ205" s="7"/>
      <c r="BA205" s="7" t="s">
        <v>1372</v>
      </c>
      <c r="BB205" s="7" t="s">
        <v>1373</v>
      </c>
      <c r="BC205" s="11" t="s">
        <v>1374</v>
      </c>
      <c r="BD205" s="7" t="s">
        <v>98</v>
      </c>
      <c r="BE205" s="11" t="s">
        <v>1293</v>
      </c>
    </row>
    <row r="206" customFormat="false" ht="46.25" hidden="false" customHeight="false" outlineLevel="0" collapsed="false">
      <c r="A206" s="6" t="n">
        <v>205</v>
      </c>
      <c r="B206" s="7" t="s">
        <v>1263</v>
      </c>
      <c r="C206" s="7" t="s">
        <v>1375</v>
      </c>
      <c r="D206" s="8" t="n">
        <v>10.73</v>
      </c>
      <c r="E206" s="7" t="s">
        <v>172</v>
      </c>
      <c r="F206" s="7" t="s">
        <v>86</v>
      </c>
      <c r="G206" s="6" t="n">
        <v>5</v>
      </c>
      <c r="H206" s="7" t="s">
        <v>789</v>
      </c>
      <c r="I206" s="7"/>
      <c r="J206" s="7"/>
      <c r="K206" s="7" t="s">
        <v>371</v>
      </c>
      <c r="L206" s="9" t="n">
        <v>12000000</v>
      </c>
      <c r="M206" s="9"/>
      <c r="N206" s="9"/>
      <c r="O206" s="7" t="s">
        <v>817</v>
      </c>
      <c r="P206" s="7" t="s">
        <v>89</v>
      </c>
      <c r="Q206" s="7" t="s">
        <v>155</v>
      </c>
      <c r="R206" s="7" t="s">
        <v>1376</v>
      </c>
      <c r="S206" s="7" t="s">
        <v>1324</v>
      </c>
      <c r="T206" s="7"/>
      <c r="U206" s="10"/>
      <c r="V206" s="7"/>
      <c r="W206" s="7"/>
      <c r="X206" s="7"/>
      <c r="Y206" s="7"/>
      <c r="Z206" s="7"/>
      <c r="AA206" s="7"/>
      <c r="AB206" s="8"/>
      <c r="AC206" s="6"/>
      <c r="AD206" s="6"/>
      <c r="AE206" s="6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8"/>
      <c r="AR206" s="9" t="str">
        <f aca="false">IFERROR(VLOOKUP($X206,Lotes!$A:$E,5,FALSE())*$U206,"")</f>
        <v/>
      </c>
      <c r="AS206" s="9" t="n">
        <f aca="false">IF($L206="","",$L206*2.6)</f>
        <v>31200000</v>
      </c>
      <c r="AT206" s="9"/>
      <c r="AU206" s="9" t="n">
        <v>36000000</v>
      </c>
      <c r="AV206" s="9" t="n">
        <v>36000000</v>
      </c>
      <c r="AW206" s="9" t="n">
        <v>36000000</v>
      </c>
      <c r="AX206" s="7" t="s">
        <v>428</v>
      </c>
      <c r="AY206" s="7" t="s">
        <v>1268</v>
      </c>
      <c r="AZ206" s="7"/>
      <c r="BA206" s="7" t="s">
        <v>1377</v>
      </c>
      <c r="BB206" s="7" t="s">
        <v>1378</v>
      </c>
      <c r="BC206" s="11" t="s">
        <v>1379</v>
      </c>
      <c r="BD206" s="7" t="s">
        <v>98</v>
      </c>
      <c r="BE206" s="11" t="s">
        <v>1293</v>
      </c>
    </row>
    <row r="207" customFormat="false" ht="46.25" hidden="false" customHeight="false" outlineLevel="0" collapsed="false">
      <c r="A207" s="6" t="n">
        <v>206</v>
      </c>
      <c r="B207" s="7" t="s">
        <v>1263</v>
      </c>
      <c r="C207" s="7" t="s">
        <v>1380</v>
      </c>
      <c r="D207" s="8" t="n">
        <v>6.62</v>
      </c>
      <c r="E207" s="7" t="s">
        <v>172</v>
      </c>
      <c r="F207" s="7" t="s">
        <v>86</v>
      </c>
      <c r="G207" s="6" t="n">
        <v>3</v>
      </c>
      <c r="H207" s="7" t="s">
        <v>789</v>
      </c>
      <c r="I207" s="7"/>
      <c r="J207" s="7"/>
      <c r="K207" s="7" t="s">
        <v>371</v>
      </c>
      <c r="L207" s="9" t="n">
        <v>10000000</v>
      </c>
      <c r="M207" s="9"/>
      <c r="N207" s="9"/>
      <c r="O207" s="7" t="s">
        <v>817</v>
      </c>
      <c r="P207" s="7" t="s">
        <v>89</v>
      </c>
      <c r="Q207" s="7" t="s">
        <v>155</v>
      </c>
      <c r="R207" s="7" t="s">
        <v>1381</v>
      </c>
      <c r="S207" s="7" t="s">
        <v>1324</v>
      </c>
      <c r="T207" s="7"/>
      <c r="U207" s="10"/>
      <c r="V207" s="7"/>
      <c r="W207" s="7"/>
      <c r="X207" s="7"/>
      <c r="Y207" s="7"/>
      <c r="Z207" s="7"/>
      <c r="AA207" s="7"/>
      <c r="AB207" s="8"/>
      <c r="AC207" s="6"/>
      <c r="AD207" s="6"/>
      <c r="AE207" s="6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8"/>
      <c r="AR207" s="9" t="str">
        <f aca="false">IFERROR(VLOOKUP($X207,Lotes!$A:$E,5,FALSE())*$U207,"")</f>
        <v/>
      </c>
      <c r="AS207" s="9" t="n">
        <f aca="false">IF($L207="","",$L207*2.6)</f>
        <v>26000000</v>
      </c>
      <c r="AT207" s="9"/>
      <c r="AU207" s="9" t="n">
        <v>30000000</v>
      </c>
      <c r="AV207" s="9" t="n">
        <v>30000000</v>
      </c>
      <c r="AW207" s="9" t="n">
        <v>30000000</v>
      </c>
      <c r="AX207" s="7" t="s">
        <v>428</v>
      </c>
      <c r="AY207" s="7" t="s">
        <v>1268</v>
      </c>
      <c r="AZ207" s="7"/>
      <c r="BA207" s="7" t="s">
        <v>1382</v>
      </c>
      <c r="BB207" s="7" t="s">
        <v>1383</v>
      </c>
      <c r="BC207" s="11" t="s">
        <v>1384</v>
      </c>
      <c r="BD207" s="7" t="s">
        <v>98</v>
      </c>
      <c r="BE207" s="11" t="s">
        <v>1293</v>
      </c>
    </row>
    <row r="208" customFormat="false" ht="57.45" hidden="false" customHeight="false" outlineLevel="0" collapsed="false">
      <c r="A208" s="6" t="n">
        <v>207</v>
      </c>
      <c r="B208" s="7" t="s">
        <v>1263</v>
      </c>
      <c r="C208" s="7" t="s">
        <v>1385</v>
      </c>
      <c r="D208" s="8" t="n">
        <v>4.05</v>
      </c>
      <c r="E208" s="7" t="s">
        <v>172</v>
      </c>
      <c r="F208" s="7" t="s">
        <v>86</v>
      </c>
      <c r="G208" s="6" t="n">
        <v>1</v>
      </c>
      <c r="H208" s="7" t="s">
        <v>1386</v>
      </c>
      <c r="I208" s="7" t="s">
        <v>271</v>
      </c>
      <c r="J208" s="7" t="s">
        <v>1387</v>
      </c>
      <c r="K208" s="7" t="s">
        <v>88</v>
      </c>
      <c r="L208" s="9" t="n">
        <v>2500000</v>
      </c>
      <c r="M208" s="9"/>
      <c r="N208" s="9"/>
      <c r="O208" s="7" t="s">
        <v>817</v>
      </c>
      <c r="P208" s="7" t="s">
        <v>89</v>
      </c>
      <c r="Q208" s="7" t="s">
        <v>155</v>
      </c>
      <c r="R208" s="7" t="s">
        <v>1388</v>
      </c>
      <c r="S208" s="7" t="s">
        <v>1324</v>
      </c>
      <c r="T208" s="7"/>
      <c r="U208" s="10"/>
      <c r="V208" s="7"/>
      <c r="W208" s="7"/>
      <c r="X208" s="7"/>
      <c r="Y208" s="7"/>
      <c r="Z208" s="7"/>
      <c r="AA208" s="7"/>
      <c r="AB208" s="8"/>
      <c r="AC208" s="6"/>
      <c r="AD208" s="6"/>
      <c r="AE208" s="6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8"/>
      <c r="AR208" s="9" t="str">
        <f aca="false">IFERROR(VLOOKUP($X208,Lotes!$A:$E,5,FALSE())*$U208,"")</f>
        <v/>
      </c>
      <c r="AS208" s="9" t="n">
        <f aca="false">IF($L208="","",$L208*2.6)</f>
        <v>6500000</v>
      </c>
      <c r="AT208" s="9"/>
      <c r="AU208" s="9" t="n">
        <v>7500000</v>
      </c>
      <c r="AV208" s="9" t="n">
        <v>7500000</v>
      </c>
      <c r="AW208" s="9" t="n">
        <v>7500000</v>
      </c>
      <c r="AX208" s="7" t="s">
        <v>428</v>
      </c>
      <c r="AY208" s="7" t="s">
        <v>1268</v>
      </c>
      <c r="AZ208" s="7"/>
      <c r="BA208" s="7" t="s">
        <v>1389</v>
      </c>
      <c r="BB208" s="7" t="s">
        <v>1390</v>
      </c>
      <c r="BC208" s="11" t="s">
        <v>1391</v>
      </c>
      <c r="BD208" s="7" t="s">
        <v>98</v>
      </c>
      <c r="BE208" s="11" t="s">
        <v>1272</v>
      </c>
    </row>
    <row r="209" customFormat="false" ht="46.25" hidden="false" customHeight="false" outlineLevel="0" collapsed="false">
      <c r="A209" s="6" t="n">
        <v>208</v>
      </c>
      <c r="B209" s="7" t="s">
        <v>1263</v>
      </c>
      <c r="C209" s="7" t="s">
        <v>1392</v>
      </c>
      <c r="D209" s="8" t="n">
        <v>4.16</v>
      </c>
      <c r="E209" s="7" t="s">
        <v>172</v>
      </c>
      <c r="F209" s="7" t="s">
        <v>86</v>
      </c>
      <c r="G209" s="6" t="n">
        <v>1</v>
      </c>
      <c r="H209" s="7" t="s">
        <v>1386</v>
      </c>
      <c r="I209" s="7" t="s">
        <v>271</v>
      </c>
      <c r="J209" s="7" t="s">
        <v>1393</v>
      </c>
      <c r="K209" s="7" t="s">
        <v>88</v>
      </c>
      <c r="L209" s="9" t="n">
        <v>2500000</v>
      </c>
      <c r="M209" s="9"/>
      <c r="N209" s="9"/>
      <c r="O209" s="7" t="s">
        <v>817</v>
      </c>
      <c r="P209" s="7" t="s">
        <v>89</v>
      </c>
      <c r="Q209" s="7" t="s">
        <v>155</v>
      </c>
      <c r="R209" s="7" t="s">
        <v>1394</v>
      </c>
      <c r="S209" s="7" t="s">
        <v>1324</v>
      </c>
      <c r="T209" s="7"/>
      <c r="U209" s="10"/>
      <c r="V209" s="7"/>
      <c r="W209" s="7"/>
      <c r="X209" s="7"/>
      <c r="Y209" s="7"/>
      <c r="Z209" s="7"/>
      <c r="AA209" s="7"/>
      <c r="AB209" s="8"/>
      <c r="AC209" s="6"/>
      <c r="AD209" s="6"/>
      <c r="AE209" s="6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8"/>
      <c r="AR209" s="9" t="str">
        <f aca="false">IFERROR(VLOOKUP($X209,Lotes!$A:$E,5,FALSE())*$U209,"")</f>
        <v/>
      </c>
      <c r="AS209" s="9" t="n">
        <f aca="false">IF($L209="","",$L209*2.6)</f>
        <v>6500000</v>
      </c>
      <c r="AT209" s="9"/>
      <c r="AU209" s="9" t="n">
        <v>7500000</v>
      </c>
      <c r="AV209" s="9" t="n">
        <v>7500000</v>
      </c>
      <c r="AW209" s="9" t="n">
        <v>7500000</v>
      </c>
      <c r="AX209" s="7" t="s">
        <v>428</v>
      </c>
      <c r="AY209" s="7" t="s">
        <v>1268</v>
      </c>
      <c r="AZ209" s="7"/>
      <c r="BA209" s="7" t="s">
        <v>1395</v>
      </c>
      <c r="BB209" s="7" t="s">
        <v>1396</v>
      </c>
      <c r="BC209" s="11" t="s">
        <v>1397</v>
      </c>
      <c r="BD209" s="7" t="s">
        <v>98</v>
      </c>
      <c r="BE209" s="11" t="s">
        <v>1293</v>
      </c>
    </row>
    <row r="210" customFormat="false" ht="57.45" hidden="false" customHeight="false" outlineLevel="0" collapsed="false">
      <c r="A210" s="6" t="n">
        <v>209</v>
      </c>
      <c r="B210" s="7" t="s">
        <v>1263</v>
      </c>
      <c r="C210" s="7" t="s">
        <v>1398</v>
      </c>
      <c r="D210" s="8" t="n">
        <v>4.06</v>
      </c>
      <c r="E210" s="7" t="s">
        <v>172</v>
      </c>
      <c r="F210" s="7" t="s">
        <v>86</v>
      </c>
      <c r="G210" s="6" t="n">
        <v>1</v>
      </c>
      <c r="H210" s="7" t="s">
        <v>1386</v>
      </c>
      <c r="I210" s="7" t="s">
        <v>271</v>
      </c>
      <c r="J210" s="7" t="s">
        <v>1399</v>
      </c>
      <c r="K210" s="7" t="s">
        <v>88</v>
      </c>
      <c r="L210" s="9" t="n">
        <v>2700000</v>
      </c>
      <c r="M210" s="9"/>
      <c r="N210" s="9"/>
      <c r="O210" s="7" t="s">
        <v>817</v>
      </c>
      <c r="P210" s="7" t="s">
        <v>89</v>
      </c>
      <c r="Q210" s="7" t="s">
        <v>155</v>
      </c>
      <c r="R210" s="7" t="s">
        <v>1400</v>
      </c>
      <c r="S210" s="7" t="s">
        <v>1324</v>
      </c>
      <c r="T210" s="7"/>
      <c r="U210" s="10"/>
      <c r="V210" s="7"/>
      <c r="W210" s="7"/>
      <c r="X210" s="7"/>
      <c r="Y210" s="7"/>
      <c r="Z210" s="7"/>
      <c r="AA210" s="7"/>
      <c r="AB210" s="8"/>
      <c r="AC210" s="6"/>
      <c r="AD210" s="6"/>
      <c r="AE210" s="6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8"/>
      <c r="AR210" s="9" t="str">
        <f aca="false">IFERROR(VLOOKUP($X210,Lotes!$A:$E,5,FALSE())*$U210,"")</f>
        <v/>
      </c>
      <c r="AS210" s="9" t="n">
        <f aca="false">IF($L210="","",$L210*2.6)</f>
        <v>7020000</v>
      </c>
      <c r="AT210" s="9"/>
      <c r="AU210" s="9" t="n">
        <v>8100000</v>
      </c>
      <c r="AV210" s="9" t="n">
        <v>8100000</v>
      </c>
      <c r="AW210" s="9" t="n">
        <v>8100000</v>
      </c>
      <c r="AX210" s="7" t="s">
        <v>428</v>
      </c>
      <c r="AY210" s="7" t="s">
        <v>1268</v>
      </c>
      <c r="AZ210" s="7"/>
      <c r="BA210" s="7" t="s">
        <v>1401</v>
      </c>
      <c r="BB210" s="7" t="s">
        <v>1402</v>
      </c>
      <c r="BC210" s="11" t="s">
        <v>1403</v>
      </c>
      <c r="BD210" s="7" t="s">
        <v>98</v>
      </c>
      <c r="BE210" s="11" t="s">
        <v>1272</v>
      </c>
    </row>
    <row r="211" customFormat="false" ht="46.25" hidden="false" customHeight="false" outlineLevel="0" collapsed="false">
      <c r="A211" s="6" t="n">
        <v>210</v>
      </c>
      <c r="B211" s="7" t="s">
        <v>1210</v>
      </c>
      <c r="C211" s="7" t="s">
        <v>1404</v>
      </c>
      <c r="D211" s="8" t="n">
        <v>10</v>
      </c>
      <c r="E211" s="7" t="s">
        <v>245</v>
      </c>
      <c r="F211" s="7" t="s">
        <v>123</v>
      </c>
      <c r="G211" s="6" t="n">
        <v>1</v>
      </c>
      <c r="H211" s="7" t="s">
        <v>1405</v>
      </c>
      <c r="I211" s="7"/>
      <c r="J211" s="7"/>
      <c r="K211" s="7" t="s">
        <v>1054</v>
      </c>
      <c r="L211" s="9" t="n">
        <v>300000</v>
      </c>
      <c r="M211" s="9"/>
      <c r="N211" s="9"/>
      <c r="O211" s="7" t="s">
        <v>154</v>
      </c>
      <c r="P211" s="7" t="s">
        <v>89</v>
      </c>
      <c r="Q211" s="7" t="s">
        <v>155</v>
      </c>
      <c r="R211" s="7" t="s">
        <v>1406</v>
      </c>
      <c r="S211" s="7" t="s">
        <v>1219</v>
      </c>
      <c r="T211" s="7"/>
      <c r="U211" s="10"/>
      <c r="V211" s="7"/>
      <c r="W211" s="7"/>
      <c r="X211" s="7"/>
      <c r="Y211" s="7"/>
      <c r="Z211" s="7"/>
      <c r="AA211" s="7"/>
      <c r="AB211" s="8"/>
      <c r="AC211" s="6"/>
      <c r="AD211" s="6"/>
      <c r="AE211" s="6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8"/>
      <c r="AR211" s="9" t="str">
        <f aca="false">IFERROR(VLOOKUP($X211,Lotes!$A:$E,5,FALSE())*$U211,"")</f>
        <v/>
      </c>
      <c r="AS211" s="9" t="n">
        <f aca="false">IF($L211="","",$L211*2.6)</f>
        <v>780000</v>
      </c>
      <c r="AT211" s="9"/>
      <c r="AU211" s="9" t="n">
        <v>897480</v>
      </c>
      <c r="AV211" s="9" t="n">
        <v>897480</v>
      </c>
      <c r="AW211" s="9" t="n">
        <v>737480</v>
      </c>
      <c r="AX211" s="7" t="s">
        <v>127</v>
      </c>
      <c r="AY211" s="7" t="s">
        <v>94</v>
      </c>
      <c r="AZ211" s="7"/>
      <c r="BA211" s="7" t="s">
        <v>1407</v>
      </c>
      <c r="BB211" s="7" t="s">
        <v>1408</v>
      </c>
      <c r="BC211" s="11" t="s">
        <v>1409</v>
      </c>
      <c r="BD211" s="7" t="s">
        <v>98</v>
      </c>
      <c r="BE211" s="11" t="s">
        <v>1410</v>
      </c>
    </row>
    <row r="212" customFormat="false" ht="15" hidden="false" customHeight="false" outlineLevel="0" collapsed="false">
      <c r="A212" s="6" t="n">
        <v>211</v>
      </c>
      <c r="B212" s="7" t="s">
        <v>1210</v>
      </c>
      <c r="C212" s="7" t="s">
        <v>1411</v>
      </c>
      <c r="D212" s="8" t="n">
        <v>0.56</v>
      </c>
      <c r="E212" s="7" t="s">
        <v>386</v>
      </c>
      <c r="F212" s="7" t="s">
        <v>680</v>
      </c>
      <c r="G212" s="6" t="n">
        <v>1</v>
      </c>
      <c r="H212" s="7" t="s">
        <v>404</v>
      </c>
      <c r="I212" s="7" t="s">
        <v>271</v>
      </c>
      <c r="J212" s="7" t="s">
        <v>1412</v>
      </c>
      <c r="K212" s="7" t="s">
        <v>88</v>
      </c>
      <c r="L212" s="9" t="n">
        <v>3100000</v>
      </c>
      <c r="M212" s="9"/>
      <c r="N212" s="9"/>
      <c r="O212" s="7" t="s">
        <v>154</v>
      </c>
      <c r="P212" s="7" t="s">
        <v>1413</v>
      </c>
      <c r="Q212" s="7" t="s">
        <v>90</v>
      </c>
      <c r="R212" s="7" t="s">
        <v>1414</v>
      </c>
      <c r="S212" s="7" t="s">
        <v>1219</v>
      </c>
      <c r="T212" s="7"/>
      <c r="U212" s="10"/>
      <c r="V212" s="7"/>
      <c r="W212" s="7"/>
      <c r="X212" s="7"/>
      <c r="Y212" s="7"/>
      <c r="Z212" s="7"/>
      <c r="AA212" s="7"/>
      <c r="AB212" s="8"/>
      <c r="AC212" s="6"/>
      <c r="AD212" s="6"/>
      <c r="AE212" s="6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8"/>
      <c r="AR212" s="9" t="str">
        <f aca="false">IFERROR(VLOOKUP($X212,Lotes!$A:$E,5,FALSE())*$U212,"")</f>
        <v/>
      </c>
      <c r="AS212" s="9" t="n">
        <f aca="false">IF($L212="","",$L212*2.6)</f>
        <v>8060000</v>
      </c>
      <c r="AT212" s="9"/>
      <c r="AU212" s="9" t="n">
        <v>9300000</v>
      </c>
      <c r="AV212" s="9" t="n">
        <v>9300000</v>
      </c>
      <c r="AW212" s="9" t="n">
        <v>0</v>
      </c>
      <c r="AX212" s="7" t="s">
        <v>1413</v>
      </c>
      <c r="AY212" s="7" t="s">
        <v>1415</v>
      </c>
      <c r="AZ212" s="7"/>
      <c r="BA212" s="7" t="s">
        <v>1416</v>
      </c>
      <c r="BB212" s="7" t="s">
        <v>1417</v>
      </c>
      <c r="BC212" s="11" t="s">
        <v>1418</v>
      </c>
      <c r="BD212" s="7" t="s">
        <v>98</v>
      </c>
      <c r="BE212" s="11"/>
    </row>
    <row r="213" customFormat="false" ht="46.25" hidden="false" customHeight="false" outlineLevel="0" collapsed="false">
      <c r="A213" s="6" t="n">
        <v>212</v>
      </c>
      <c r="B213" s="7" t="s">
        <v>1210</v>
      </c>
      <c r="C213" s="7" t="s">
        <v>1419</v>
      </c>
      <c r="D213" s="8" t="n">
        <v>2</v>
      </c>
      <c r="E213" s="7" t="s">
        <v>172</v>
      </c>
      <c r="F213" s="7" t="s">
        <v>123</v>
      </c>
      <c r="G213" s="6" t="n">
        <v>1</v>
      </c>
      <c r="H213" s="7" t="s">
        <v>1420</v>
      </c>
      <c r="I213" s="7" t="s">
        <v>271</v>
      </c>
      <c r="J213" s="7" t="s">
        <v>1421</v>
      </c>
      <c r="K213" s="7" t="s">
        <v>1422</v>
      </c>
      <c r="L213" s="9" t="n">
        <v>8500000</v>
      </c>
      <c r="M213" s="9"/>
      <c r="N213" s="9"/>
      <c r="O213" s="7" t="s">
        <v>41</v>
      </c>
      <c r="P213" s="7" t="s">
        <v>489</v>
      </c>
      <c r="Q213" s="7" t="s">
        <v>90</v>
      </c>
      <c r="R213" s="7" t="s">
        <v>1423</v>
      </c>
      <c r="S213" s="7" t="s">
        <v>1424</v>
      </c>
      <c r="T213" s="7"/>
      <c r="U213" s="10"/>
      <c r="V213" s="7"/>
      <c r="W213" s="7"/>
      <c r="X213" s="7"/>
      <c r="Y213" s="7"/>
      <c r="Z213" s="7"/>
      <c r="AA213" s="7"/>
      <c r="AB213" s="8"/>
      <c r="AC213" s="6"/>
      <c r="AD213" s="6"/>
      <c r="AE213" s="6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8"/>
      <c r="AR213" s="9" t="str">
        <f aca="false">IFERROR(VLOOKUP($X213,Lotes!$A:$E,5,FALSE())*$U213,"")</f>
        <v/>
      </c>
      <c r="AS213" s="9" t="n">
        <f aca="false">IF($L213="","",$L213*2.6)</f>
        <v>22100000</v>
      </c>
      <c r="AT213" s="9"/>
      <c r="AU213" s="9" t="n">
        <v>17822250</v>
      </c>
      <c r="AV213" s="9" t="n">
        <v>17822250</v>
      </c>
      <c r="AW213" s="9" t="n">
        <v>17822250</v>
      </c>
      <c r="AX213" s="7" t="s">
        <v>428</v>
      </c>
      <c r="AY213" s="7" t="s">
        <v>1268</v>
      </c>
      <c r="AZ213" s="7"/>
      <c r="BA213" s="7" t="s">
        <v>1425</v>
      </c>
      <c r="BB213" s="7" t="s">
        <v>1426</v>
      </c>
      <c r="BC213" s="11" t="s">
        <v>1427</v>
      </c>
      <c r="BD213" s="7" t="s">
        <v>98</v>
      </c>
      <c r="BE213" s="11" t="s">
        <v>1428</v>
      </c>
    </row>
    <row r="214" customFormat="false" ht="15" hidden="false" customHeight="false" outlineLevel="0" collapsed="false">
      <c r="A214" s="6" t="n">
        <v>213</v>
      </c>
      <c r="B214" s="7" t="s">
        <v>1429</v>
      </c>
      <c r="C214" s="7" t="s">
        <v>1430</v>
      </c>
      <c r="D214" s="8" t="n">
        <v>2</v>
      </c>
      <c r="E214" s="7" t="s">
        <v>403</v>
      </c>
      <c r="F214" s="7" t="s">
        <v>311</v>
      </c>
      <c r="G214" s="6" t="n">
        <v>1</v>
      </c>
      <c r="H214" s="7" t="s">
        <v>1420</v>
      </c>
      <c r="I214" s="7" t="s">
        <v>271</v>
      </c>
      <c r="J214" s="7" t="s">
        <v>1421</v>
      </c>
      <c r="K214" s="7" t="s">
        <v>1422</v>
      </c>
      <c r="L214" s="9" t="n">
        <v>25500000</v>
      </c>
      <c r="M214" s="9"/>
      <c r="N214" s="9"/>
      <c r="O214" s="7" t="s">
        <v>817</v>
      </c>
      <c r="P214" s="7" t="s">
        <v>428</v>
      </c>
      <c r="Q214" s="7" t="s">
        <v>155</v>
      </c>
      <c r="R214" s="7" t="s">
        <v>1431</v>
      </c>
      <c r="S214" s="7" t="s">
        <v>1424</v>
      </c>
      <c r="T214" s="7"/>
      <c r="U214" s="10"/>
      <c r="V214" s="7"/>
      <c r="W214" s="7"/>
      <c r="X214" s="7"/>
      <c r="Y214" s="7"/>
      <c r="Z214" s="7"/>
      <c r="AA214" s="7"/>
      <c r="AB214" s="8"/>
      <c r="AC214" s="6"/>
      <c r="AD214" s="6"/>
      <c r="AE214" s="6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8"/>
      <c r="AR214" s="9" t="str">
        <f aca="false">IFERROR(VLOOKUP($X214,Lotes!$A:$E,5,FALSE())*$U214,"")</f>
        <v/>
      </c>
      <c r="AS214" s="9" t="n">
        <f aca="false">IF($L214="","",$L214*2.6)</f>
        <v>66300000</v>
      </c>
      <c r="AT214" s="9"/>
      <c r="AU214" s="9" t="n">
        <v>71550000</v>
      </c>
      <c r="AV214" s="9" t="n">
        <v>71550000</v>
      </c>
      <c r="AW214" s="9" t="n">
        <v>71550000</v>
      </c>
      <c r="AX214" s="7" t="s">
        <v>428</v>
      </c>
      <c r="AY214" s="7" t="s">
        <v>1268</v>
      </c>
      <c r="AZ214" s="7"/>
      <c r="BA214" s="7" t="s">
        <v>1432</v>
      </c>
      <c r="BB214" s="7" t="s">
        <v>1433</v>
      </c>
      <c r="BC214" s="11" t="s">
        <v>1434</v>
      </c>
      <c r="BD214" s="7" t="s">
        <v>98</v>
      </c>
      <c r="BE214" s="11"/>
    </row>
    <row r="215" customFormat="false" ht="15" hidden="false" customHeight="false" outlineLevel="0" collapsed="false">
      <c r="A215" s="6" t="n">
        <v>214</v>
      </c>
      <c r="B215" s="7" t="s">
        <v>1429</v>
      </c>
      <c r="C215" s="7" t="s">
        <v>1435</v>
      </c>
      <c r="D215" s="8" t="n">
        <v>13.9</v>
      </c>
      <c r="E215" s="7" t="s">
        <v>386</v>
      </c>
      <c r="F215" s="7" t="s">
        <v>765</v>
      </c>
      <c r="G215" s="6" t="n">
        <v>1</v>
      </c>
      <c r="H215" s="7" t="s">
        <v>1420</v>
      </c>
      <c r="I215" s="7"/>
      <c r="J215" s="7"/>
      <c r="K215" s="7" t="s">
        <v>1422</v>
      </c>
      <c r="L215" s="9" t="n">
        <v>28500000</v>
      </c>
      <c r="M215" s="9"/>
      <c r="N215" s="9"/>
      <c r="O215" s="7" t="s">
        <v>817</v>
      </c>
      <c r="P215" s="7" t="s">
        <v>428</v>
      </c>
      <c r="Q215" s="7" t="s">
        <v>155</v>
      </c>
      <c r="R215" s="7" t="s">
        <v>1436</v>
      </c>
      <c r="S215" s="7" t="s">
        <v>1424</v>
      </c>
      <c r="T215" s="7"/>
      <c r="U215" s="10"/>
      <c r="V215" s="7"/>
      <c r="W215" s="7"/>
      <c r="X215" s="7"/>
      <c r="Y215" s="7"/>
      <c r="Z215" s="7"/>
      <c r="AA215" s="7"/>
      <c r="AB215" s="8"/>
      <c r="AC215" s="6"/>
      <c r="AD215" s="6"/>
      <c r="AE215" s="6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8"/>
      <c r="AR215" s="9" t="str">
        <f aca="false">IFERROR(VLOOKUP($X215,Lotes!$A:$E,5,FALSE())*$U215,"")</f>
        <v/>
      </c>
      <c r="AS215" s="9" t="n">
        <f aca="false">IF($L215="","",$L215*2.6)</f>
        <v>74100000</v>
      </c>
      <c r="AT215" s="9"/>
      <c r="AU215" s="9" t="n">
        <v>79116000</v>
      </c>
      <c r="AV215" s="9" t="n">
        <v>79116000</v>
      </c>
      <c r="AW215" s="9" t="n">
        <v>79116000</v>
      </c>
      <c r="AX215" s="7" t="s">
        <v>428</v>
      </c>
      <c r="AY215" s="7" t="s">
        <v>1268</v>
      </c>
      <c r="AZ215" s="7"/>
      <c r="BA215" s="7" t="s">
        <v>1437</v>
      </c>
      <c r="BB215" s="7" t="s">
        <v>1438</v>
      </c>
      <c r="BC215" s="11" t="s">
        <v>1439</v>
      </c>
      <c r="BD215" s="7" t="s">
        <v>98</v>
      </c>
      <c r="BE215" s="11" t="s">
        <v>763</v>
      </c>
    </row>
    <row r="216" customFormat="false" ht="15" hidden="false" customHeight="false" outlineLevel="0" collapsed="false">
      <c r="A216" s="6" t="n">
        <v>215</v>
      </c>
      <c r="B216" s="7" t="s">
        <v>1429</v>
      </c>
      <c r="C216" s="7" t="s">
        <v>1440</v>
      </c>
      <c r="D216" s="8" t="n">
        <v>8.07</v>
      </c>
      <c r="E216" s="7" t="s">
        <v>403</v>
      </c>
      <c r="F216" s="7" t="s">
        <v>311</v>
      </c>
      <c r="G216" s="6" t="n">
        <v>1</v>
      </c>
      <c r="H216" s="7" t="s">
        <v>1420</v>
      </c>
      <c r="I216" s="7" t="s">
        <v>271</v>
      </c>
      <c r="J216" s="7" t="s">
        <v>1441</v>
      </c>
      <c r="K216" s="7" t="s">
        <v>1422</v>
      </c>
      <c r="L216" s="9" t="n">
        <v>26500000</v>
      </c>
      <c r="M216" s="9"/>
      <c r="N216" s="9"/>
      <c r="O216" s="7" t="s">
        <v>817</v>
      </c>
      <c r="P216" s="7" t="s">
        <v>428</v>
      </c>
      <c r="Q216" s="7" t="s">
        <v>155</v>
      </c>
      <c r="R216" s="7" t="s">
        <v>1442</v>
      </c>
      <c r="S216" s="7" t="s">
        <v>1424</v>
      </c>
      <c r="T216" s="7"/>
      <c r="U216" s="10"/>
      <c r="V216" s="7"/>
      <c r="W216" s="7"/>
      <c r="X216" s="7"/>
      <c r="Y216" s="7"/>
      <c r="Z216" s="7"/>
      <c r="AA216" s="7"/>
      <c r="AB216" s="8"/>
      <c r="AC216" s="6"/>
      <c r="AD216" s="6"/>
      <c r="AE216" s="6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8"/>
      <c r="AR216" s="9" t="str">
        <f aca="false">IFERROR(VLOOKUP($X216,Lotes!$A:$E,5,FALSE())*$U216,"")</f>
        <v/>
      </c>
      <c r="AS216" s="9" t="n">
        <f aca="false">IF($L216="","",$L216*2.6)</f>
        <v>68900000</v>
      </c>
      <c r="AT216" s="9"/>
      <c r="AU216" s="9" t="n">
        <v>72709000</v>
      </c>
      <c r="AV216" s="9" t="n">
        <v>72709000</v>
      </c>
      <c r="AW216" s="9" t="n">
        <v>72709000</v>
      </c>
      <c r="AX216" s="7" t="s">
        <v>428</v>
      </c>
      <c r="AY216" s="7" t="s">
        <v>1268</v>
      </c>
      <c r="AZ216" s="7"/>
      <c r="BA216" s="7" t="s">
        <v>1443</v>
      </c>
      <c r="BB216" s="7" t="s">
        <v>1444</v>
      </c>
      <c r="BC216" s="11" t="s">
        <v>1445</v>
      </c>
      <c r="BD216" s="7" t="s">
        <v>98</v>
      </c>
      <c r="BE216" s="11" t="s">
        <v>763</v>
      </c>
    </row>
    <row r="217" customFormat="false" ht="15" hidden="false" customHeight="false" outlineLevel="0" collapsed="false">
      <c r="A217" s="6" t="n">
        <v>216</v>
      </c>
      <c r="B217" s="7" t="s">
        <v>1429</v>
      </c>
      <c r="C217" s="7" t="s">
        <v>1446</v>
      </c>
      <c r="D217" s="8" t="n">
        <v>9.97</v>
      </c>
      <c r="E217" s="7" t="s">
        <v>386</v>
      </c>
      <c r="F217" s="7" t="s">
        <v>311</v>
      </c>
      <c r="G217" s="6" t="n">
        <v>1</v>
      </c>
      <c r="H217" s="7" t="s">
        <v>1420</v>
      </c>
      <c r="I217" s="7" t="s">
        <v>271</v>
      </c>
      <c r="J217" s="7" t="s">
        <v>1441</v>
      </c>
      <c r="K217" s="7" t="s">
        <v>1422</v>
      </c>
      <c r="L217" s="9" t="n">
        <v>18500000</v>
      </c>
      <c r="M217" s="9"/>
      <c r="N217" s="9"/>
      <c r="O217" s="7" t="s">
        <v>817</v>
      </c>
      <c r="P217" s="7" t="s">
        <v>428</v>
      </c>
      <c r="Q217" s="7" t="s">
        <v>155</v>
      </c>
      <c r="R217" s="7" t="s">
        <v>1447</v>
      </c>
      <c r="S217" s="7" t="s">
        <v>1424</v>
      </c>
      <c r="T217" s="7"/>
      <c r="U217" s="10"/>
      <c r="V217" s="7"/>
      <c r="W217" s="7"/>
      <c r="X217" s="7"/>
      <c r="Y217" s="7"/>
      <c r="Z217" s="7"/>
      <c r="AA217" s="7"/>
      <c r="AB217" s="8"/>
      <c r="AC217" s="6"/>
      <c r="AD217" s="6"/>
      <c r="AE217" s="6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8"/>
      <c r="AR217" s="9" t="str">
        <f aca="false">IFERROR(VLOOKUP($X217,Lotes!$A:$E,5,FALSE())*$U217,"")</f>
        <v/>
      </c>
      <c r="AS217" s="9" t="n">
        <f aca="false">IF($L217="","",$L217*2.6)</f>
        <v>48100000</v>
      </c>
      <c r="AT217" s="9"/>
      <c r="AU217" s="9" t="n">
        <v>44639000</v>
      </c>
      <c r="AV217" s="9" t="n">
        <v>44639000</v>
      </c>
      <c r="AW217" s="9" t="n">
        <v>44639000</v>
      </c>
      <c r="AX217" s="7" t="s">
        <v>428</v>
      </c>
      <c r="AY217" s="7" t="s">
        <v>1268</v>
      </c>
      <c r="AZ217" s="7"/>
      <c r="BA217" s="7" t="s">
        <v>1448</v>
      </c>
      <c r="BB217" s="7" t="s">
        <v>1449</v>
      </c>
      <c r="BC217" s="11" t="s">
        <v>1450</v>
      </c>
      <c r="BD217" s="7" t="s">
        <v>98</v>
      </c>
      <c r="BE217" s="11"/>
    </row>
    <row r="218" customFormat="false" ht="15" hidden="false" customHeight="false" outlineLevel="0" collapsed="false">
      <c r="A218" s="6" t="n">
        <v>217</v>
      </c>
      <c r="B218" s="7" t="s">
        <v>1451</v>
      </c>
      <c r="C218" s="7" t="s">
        <v>1452</v>
      </c>
      <c r="D218" s="8" t="n">
        <v>2.11</v>
      </c>
      <c r="E218" s="7" t="s">
        <v>85</v>
      </c>
      <c r="F218" s="7" t="s">
        <v>148</v>
      </c>
      <c r="G218" s="6" t="n">
        <v>4</v>
      </c>
      <c r="H218" s="7" t="s">
        <v>87</v>
      </c>
      <c r="I218" s="7" t="s">
        <v>271</v>
      </c>
      <c r="J218" s="7" t="s">
        <v>1453</v>
      </c>
      <c r="K218" s="7" t="s">
        <v>371</v>
      </c>
      <c r="L218" s="9" t="n">
        <v>949500</v>
      </c>
      <c r="M218" s="9"/>
      <c r="N218" s="9"/>
      <c r="O218" s="7" t="s">
        <v>41</v>
      </c>
      <c r="P218" s="7" t="s">
        <v>102</v>
      </c>
      <c r="Q218" s="7" t="s">
        <v>90</v>
      </c>
      <c r="R218" s="7" t="s">
        <v>1454</v>
      </c>
      <c r="S218" s="7"/>
      <c r="T218" s="7" t="s">
        <v>93</v>
      </c>
      <c r="U218" s="10"/>
      <c r="V218" s="7"/>
      <c r="W218" s="7"/>
      <c r="X218" s="7"/>
      <c r="Y218" s="7"/>
      <c r="Z218" s="7"/>
      <c r="AA218" s="7"/>
      <c r="AB218" s="8"/>
      <c r="AC218" s="6"/>
      <c r="AD218" s="6"/>
      <c r="AE218" s="6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8"/>
      <c r="AR218" s="9" t="str">
        <f aca="false">IFERROR(VLOOKUP($X218,Lotes!$A:$E,5,FALSE())*$U218,"")</f>
        <v/>
      </c>
      <c r="AS218" s="9" t="n">
        <f aca="false">IF($L218="","",$L218*2.6)</f>
        <v>2468700</v>
      </c>
      <c r="AT218" s="9"/>
      <c r="AU218" s="9" t="n">
        <v>1044450</v>
      </c>
      <c r="AV218" s="9" t="n">
        <v>1044450</v>
      </c>
      <c r="AW218" s="9" t="n">
        <v>0</v>
      </c>
      <c r="AX218" s="7" t="s">
        <v>102</v>
      </c>
      <c r="AY218" s="7" t="s">
        <v>94</v>
      </c>
      <c r="AZ218" s="7"/>
      <c r="BA218" s="7" t="s">
        <v>1455</v>
      </c>
      <c r="BB218" s="7" t="s">
        <v>1456</v>
      </c>
      <c r="BC218" s="11" t="s">
        <v>1457</v>
      </c>
      <c r="BD218" s="7" t="s">
        <v>98</v>
      </c>
      <c r="BE218" s="11" t="s">
        <v>763</v>
      </c>
    </row>
    <row r="219" customFormat="false" ht="57.45" hidden="false" customHeight="false" outlineLevel="0" collapsed="false">
      <c r="A219" s="6" t="n">
        <v>218</v>
      </c>
      <c r="B219" s="7" t="s">
        <v>1451</v>
      </c>
      <c r="C219" s="7" t="s">
        <v>1458</v>
      </c>
      <c r="D219" s="8" t="n">
        <v>1.04</v>
      </c>
      <c r="E219" s="7" t="s">
        <v>172</v>
      </c>
      <c r="F219" s="7" t="s">
        <v>86</v>
      </c>
      <c r="G219" s="6" t="n">
        <v>2</v>
      </c>
      <c r="H219" s="7" t="s">
        <v>200</v>
      </c>
      <c r="I219" s="7" t="s">
        <v>271</v>
      </c>
      <c r="J219" s="7" t="s">
        <v>1459</v>
      </c>
      <c r="K219" s="7" t="s">
        <v>371</v>
      </c>
      <c r="L219" s="9" t="n">
        <v>665600</v>
      </c>
      <c r="M219" s="9"/>
      <c r="N219" s="9"/>
      <c r="O219" s="7" t="s">
        <v>154</v>
      </c>
      <c r="P219" s="7" t="s">
        <v>1032</v>
      </c>
      <c r="Q219" s="7" t="s">
        <v>1033</v>
      </c>
      <c r="R219" s="7" t="s">
        <v>1460</v>
      </c>
      <c r="S219" s="7" t="s">
        <v>1164</v>
      </c>
      <c r="T219" s="7"/>
      <c r="U219" s="10"/>
      <c r="V219" s="7" t="s">
        <v>1032</v>
      </c>
      <c r="W219" s="7" t="s">
        <v>1033</v>
      </c>
      <c r="X219" s="7"/>
      <c r="Y219" s="7"/>
      <c r="Z219" s="7"/>
      <c r="AA219" s="7"/>
      <c r="AB219" s="8"/>
      <c r="AC219" s="6"/>
      <c r="AD219" s="6"/>
      <c r="AE219" s="6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8"/>
      <c r="AR219" s="9" t="str">
        <f aca="false">IFERROR(VLOOKUP($X219,Lotes!$A:$E,5,FALSE())*$U219,"")</f>
        <v/>
      </c>
      <c r="AS219" s="9" t="n">
        <f aca="false">IF($L219="","",$L219*2.6)</f>
        <v>1730560</v>
      </c>
      <c r="AT219" s="9"/>
      <c r="AU219" s="9" t="n">
        <v>1331200</v>
      </c>
      <c r="AV219" s="9" t="n">
        <v>1331200</v>
      </c>
      <c r="AW219" s="9" t="n">
        <v>1331200</v>
      </c>
      <c r="AX219" s="7" t="s">
        <v>159</v>
      </c>
      <c r="AY219" s="7" t="s">
        <v>160</v>
      </c>
      <c r="AZ219" s="7"/>
      <c r="BA219" s="7" t="s">
        <v>1461</v>
      </c>
      <c r="BB219" s="7" t="s">
        <v>1462</v>
      </c>
      <c r="BC219" s="11" t="s">
        <v>1463</v>
      </c>
      <c r="BD219" s="7" t="s">
        <v>1038</v>
      </c>
      <c r="BE219" s="11" t="s">
        <v>1464</v>
      </c>
    </row>
    <row r="220" customFormat="false" ht="15" hidden="false" customHeight="false" outlineLevel="0" collapsed="false">
      <c r="A220" s="6" t="n">
        <v>219</v>
      </c>
      <c r="B220" s="7" t="s">
        <v>1451</v>
      </c>
      <c r="C220" s="7" t="s">
        <v>1465</v>
      </c>
      <c r="D220" s="8" t="n">
        <v>0.6</v>
      </c>
      <c r="E220" s="7" t="s">
        <v>85</v>
      </c>
      <c r="F220" s="7" t="s">
        <v>148</v>
      </c>
      <c r="G220" s="6" t="n">
        <v>2</v>
      </c>
      <c r="H220" s="7" t="s">
        <v>200</v>
      </c>
      <c r="I220" s="7" t="s">
        <v>271</v>
      </c>
      <c r="J220" s="7" t="s">
        <v>1466</v>
      </c>
      <c r="K220" s="7" t="s">
        <v>371</v>
      </c>
      <c r="L220" s="9" t="n">
        <v>126000</v>
      </c>
      <c r="M220" s="9"/>
      <c r="N220" s="9"/>
      <c r="O220" s="7" t="s">
        <v>41</v>
      </c>
      <c r="P220" s="7" t="s">
        <v>102</v>
      </c>
      <c r="Q220" s="7" t="s">
        <v>90</v>
      </c>
      <c r="R220" s="7" t="s">
        <v>1467</v>
      </c>
      <c r="S220" s="7" t="s">
        <v>1164</v>
      </c>
      <c r="T220" s="7" t="s">
        <v>93</v>
      </c>
      <c r="U220" s="10"/>
      <c r="V220" s="7"/>
      <c r="W220" s="7"/>
      <c r="X220" s="7"/>
      <c r="Y220" s="7"/>
      <c r="Z220" s="7"/>
      <c r="AA220" s="7"/>
      <c r="AB220" s="8"/>
      <c r="AC220" s="6"/>
      <c r="AD220" s="6"/>
      <c r="AE220" s="6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8"/>
      <c r="AR220" s="9" t="str">
        <f aca="false">IFERROR(VLOOKUP($X220,Lotes!$A:$E,5,FALSE())*$U220,"")</f>
        <v/>
      </c>
      <c r="AS220" s="9" t="n">
        <f aca="false">IF($L220="","",$L220*2.6)</f>
        <v>327600</v>
      </c>
      <c r="AT220" s="9"/>
      <c r="AU220" s="9" t="n">
        <v>252000</v>
      </c>
      <c r="AV220" s="9" t="n">
        <v>252000</v>
      </c>
      <c r="AW220" s="9" t="n">
        <v>0</v>
      </c>
      <c r="AX220" s="7" t="s">
        <v>102</v>
      </c>
      <c r="AY220" s="7" t="s">
        <v>94</v>
      </c>
      <c r="AZ220" s="7"/>
      <c r="BA220" s="7" t="s">
        <v>1468</v>
      </c>
      <c r="BB220" s="7" t="s">
        <v>1469</v>
      </c>
      <c r="BC220" s="11" t="s">
        <v>1470</v>
      </c>
      <c r="BD220" s="7" t="s">
        <v>98</v>
      </c>
      <c r="BE220" s="11"/>
    </row>
    <row r="221" customFormat="false" ht="46.25" hidden="false" customHeight="false" outlineLevel="0" collapsed="false">
      <c r="A221" s="6" t="n">
        <v>220</v>
      </c>
      <c r="B221" s="7" t="s">
        <v>1451</v>
      </c>
      <c r="C221" s="7" t="s">
        <v>1471</v>
      </c>
      <c r="D221" s="8" t="n">
        <v>0.59</v>
      </c>
      <c r="E221" s="7" t="s">
        <v>172</v>
      </c>
      <c r="F221" s="7" t="s">
        <v>123</v>
      </c>
      <c r="G221" s="6" t="n">
        <v>1</v>
      </c>
      <c r="H221" s="7" t="s">
        <v>200</v>
      </c>
      <c r="I221" s="7" t="s">
        <v>271</v>
      </c>
      <c r="J221" s="7" t="s">
        <v>1472</v>
      </c>
      <c r="K221" s="7" t="s">
        <v>88</v>
      </c>
      <c r="L221" s="9" t="n">
        <v>377600</v>
      </c>
      <c r="M221" s="9"/>
      <c r="N221" s="9"/>
      <c r="O221" s="7" t="s">
        <v>154</v>
      </c>
      <c r="P221" s="7" t="s">
        <v>159</v>
      </c>
      <c r="Q221" s="7" t="s">
        <v>90</v>
      </c>
      <c r="R221" s="7" t="s">
        <v>1473</v>
      </c>
      <c r="S221" s="7" t="s">
        <v>356</v>
      </c>
      <c r="T221" s="7"/>
      <c r="U221" s="10"/>
      <c r="V221" s="7"/>
      <c r="W221" s="7"/>
      <c r="X221" s="7"/>
      <c r="Y221" s="7"/>
      <c r="Z221" s="7"/>
      <c r="AA221" s="7"/>
      <c r="AB221" s="8"/>
      <c r="AC221" s="6"/>
      <c r="AD221" s="6"/>
      <c r="AE221" s="6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8"/>
      <c r="AR221" s="9" t="str">
        <f aca="false">IFERROR(VLOOKUP($X221,Lotes!$A:$E,5,FALSE())*$U221,"")</f>
        <v/>
      </c>
      <c r="AS221" s="9" t="n">
        <f aca="false">IF($L221="","",$L221*2.6)</f>
        <v>981760</v>
      </c>
      <c r="AT221" s="9"/>
      <c r="AU221" s="9" t="n">
        <v>566400</v>
      </c>
      <c r="AV221" s="9" t="n">
        <v>509760</v>
      </c>
      <c r="AW221" s="9" t="n">
        <v>0</v>
      </c>
      <c r="AX221" s="7" t="s">
        <v>657</v>
      </c>
      <c r="AY221" s="7" t="s">
        <v>94</v>
      </c>
      <c r="AZ221" s="7"/>
      <c r="BA221" s="7" t="s">
        <v>1474</v>
      </c>
      <c r="BB221" s="7" t="s">
        <v>1475</v>
      </c>
      <c r="BC221" s="11" t="s">
        <v>1476</v>
      </c>
      <c r="BD221" s="7" t="s">
        <v>98</v>
      </c>
      <c r="BE221" s="11" t="s">
        <v>1223</v>
      </c>
    </row>
    <row r="222" customFormat="false" ht="15" hidden="false" customHeight="false" outlineLevel="0" collapsed="false">
      <c r="A222" s="6" t="n">
        <v>221</v>
      </c>
      <c r="B222" s="7" t="s">
        <v>1451</v>
      </c>
      <c r="C222" s="7" t="s">
        <v>1477</v>
      </c>
      <c r="D222" s="8" t="n">
        <v>1.45</v>
      </c>
      <c r="E222" s="7" t="s">
        <v>172</v>
      </c>
      <c r="F222" s="7" t="s">
        <v>123</v>
      </c>
      <c r="G222" s="6" t="n">
        <v>3</v>
      </c>
      <c r="H222" s="7" t="s">
        <v>200</v>
      </c>
      <c r="I222" s="7" t="s">
        <v>271</v>
      </c>
      <c r="J222" s="7" t="s">
        <v>1472</v>
      </c>
      <c r="K222" s="7" t="s">
        <v>88</v>
      </c>
      <c r="L222" s="9" t="n">
        <v>272600</v>
      </c>
      <c r="M222" s="9"/>
      <c r="N222" s="9"/>
      <c r="O222" s="7" t="s">
        <v>41</v>
      </c>
      <c r="P222" s="7" t="s">
        <v>102</v>
      </c>
      <c r="Q222" s="7" t="s">
        <v>90</v>
      </c>
      <c r="R222" s="7" t="s">
        <v>1478</v>
      </c>
      <c r="S222" s="7" t="s">
        <v>356</v>
      </c>
      <c r="T222" s="7" t="s">
        <v>93</v>
      </c>
      <c r="U222" s="10"/>
      <c r="V222" s="7"/>
      <c r="W222" s="7"/>
      <c r="X222" s="7"/>
      <c r="Y222" s="7"/>
      <c r="Z222" s="7"/>
      <c r="AA222" s="7"/>
      <c r="AB222" s="8"/>
      <c r="AC222" s="6"/>
      <c r="AD222" s="6"/>
      <c r="AE222" s="6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8"/>
      <c r="AR222" s="9" t="str">
        <f aca="false">IFERROR(VLOOKUP($X222,Lotes!$A:$E,5,FALSE())*$U222,"")</f>
        <v/>
      </c>
      <c r="AS222" s="9" t="n">
        <f aca="false">IF($L222="","",$L222*2.6)</f>
        <v>708760</v>
      </c>
      <c r="AT222" s="9"/>
      <c r="AU222" s="9" t="n">
        <v>369000</v>
      </c>
      <c r="AV222" s="9" t="n">
        <v>369000</v>
      </c>
      <c r="AW222" s="9" t="n">
        <v>0</v>
      </c>
      <c r="AX222" s="7" t="s">
        <v>102</v>
      </c>
      <c r="AY222" s="7" t="s">
        <v>94</v>
      </c>
      <c r="AZ222" s="7"/>
      <c r="BA222" s="7" t="s">
        <v>1479</v>
      </c>
      <c r="BB222" s="7" t="s">
        <v>1480</v>
      </c>
      <c r="BC222" s="11" t="s">
        <v>1481</v>
      </c>
      <c r="BD222" s="7" t="s">
        <v>98</v>
      </c>
      <c r="BE222" s="11"/>
    </row>
    <row r="223" customFormat="false" ht="46.25" hidden="false" customHeight="false" outlineLevel="0" collapsed="false">
      <c r="A223" s="6" t="n">
        <v>222</v>
      </c>
      <c r="B223" s="7" t="s">
        <v>1451</v>
      </c>
      <c r="C223" s="7" t="s">
        <v>1482</v>
      </c>
      <c r="D223" s="8" t="n">
        <v>1.44</v>
      </c>
      <c r="E223" s="7" t="s">
        <v>85</v>
      </c>
      <c r="F223" s="7" t="s">
        <v>148</v>
      </c>
      <c r="G223" s="6" t="n">
        <v>4</v>
      </c>
      <c r="H223" s="7" t="s">
        <v>200</v>
      </c>
      <c r="I223" s="7" t="s">
        <v>271</v>
      </c>
      <c r="J223" s="7" t="s">
        <v>1483</v>
      </c>
      <c r="K223" s="7" t="s">
        <v>88</v>
      </c>
      <c r="L223" s="9" t="n">
        <v>300000</v>
      </c>
      <c r="M223" s="9"/>
      <c r="N223" s="9"/>
      <c r="O223" s="7" t="s">
        <v>154</v>
      </c>
      <c r="P223" s="7" t="s">
        <v>89</v>
      </c>
      <c r="Q223" s="7"/>
      <c r="R223" s="7" t="s">
        <v>1484</v>
      </c>
      <c r="S223" s="7" t="s">
        <v>356</v>
      </c>
      <c r="T223" s="7"/>
      <c r="U223" s="10"/>
      <c r="V223" s="7"/>
      <c r="W223" s="7"/>
      <c r="X223" s="7"/>
      <c r="Y223" s="7"/>
      <c r="Z223" s="7"/>
      <c r="AA223" s="7"/>
      <c r="AB223" s="8"/>
      <c r="AC223" s="6"/>
      <c r="AD223" s="6"/>
      <c r="AE223" s="6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8"/>
      <c r="AR223" s="9" t="str">
        <f aca="false">IFERROR(VLOOKUP($X223,Lotes!$A:$E,5,FALSE())*$U223,"")</f>
        <v/>
      </c>
      <c r="AS223" s="9" t="n">
        <f aca="false">IF($L223="","",$L223*2.6)</f>
        <v>780000</v>
      </c>
      <c r="AT223" s="9"/>
      <c r="AU223" s="9" t="n">
        <v>650000</v>
      </c>
      <c r="AV223" s="9" t="n">
        <v>650000</v>
      </c>
      <c r="AW223" s="9" t="n">
        <v>0</v>
      </c>
      <c r="AX223" s="7" t="s">
        <v>159</v>
      </c>
      <c r="AY223" s="7" t="s">
        <v>773</v>
      </c>
      <c r="AZ223" s="7"/>
      <c r="BA223" s="7" t="s">
        <v>1485</v>
      </c>
      <c r="BB223" s="7" t="s">
        <v>1486</v>
      </c>
      <c r="BC223" s="11" t="s">
        <v>1487</v>
      </c>
      <c r="BD223" s="7" t="s">
        <v>98</v>
      </c>
      <c r="BE223" s="11" t="s">
        <v>794</v>
      </c>
    </row>
    <row r="224" customFormat="false" ht="15" hidden="false" customHeight="false" outlineLevel="0" collapsed="false">
      <c r="A224" s="6" t="n">
        <v>223</v>
      </c>
      <c r="B224" s="7" t="s">
        <v>1451</v>
      </c>
      <c r="C224" s="7" t="s">
        <v>1488</v>
      </c>
      <c r="D224" s="8" t="n">
        <v>2.26</v>
      </c>
      <c r="E224" s="7" t="s">
        <v>85</v>
      </c>
      <c r="F224" s="7" t="s">
        <v>86</v>
      </c>
      <c r="G224" s="6" t="n">
        <v>2</v>
      </c>
      <c r="H224" s="7" t="s">
        <v>1386</v>
      </c>
      <c r="I224" s="7" t="s">
        <v>271</v>
      </c>
      <c r="J224" s="7" t="s">
        <v>1489</v>
      </c>
      <c r="K224" s="7" t="s">
        <v>88</v>
      </c>
      <c r="L224" s="9" t="n">
        <v>1248000</v>
      </c>
      <c r="M224" s="9"/>
      <c r="N224" s="9"/>
      <c r="O224" s="7" t="s">
        <v>41</v>
      </c>
      <c r="P224" s="7" t="s">
        <v>657</v>
      </c>
      <c r="Q224" s="7" t="s">
        <v>90</v>
      </c>
      <c r="R224" s="7" t="s">
        <v>1490</v>
      </c>
      <c r="S224" s="7" t="s">
        <v>356</v>
      </c>
      <c r="T224" s="7" t="s">
        <v>93</v>
      </c>
      <c r="U224" s="10"/>
      <c r="V224" s="7"/>
      <c r="W224" s="7"/>
      <c r="X224" s="7"/>
      <c r="Y224" s="7"/>
      <c r="Z224" s="7"/>
      <c r="AA224" s="7"/>
      <c r="AB224" s="8"/>
      <c r="AC224" s="6"/>
      <c r="AD224" s="6"/>
      <c r="AE224" s="6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8"/>
      <c r="AR224" s="9" t="str">
        <f aca="false">IFERROR(VLOOKUP($X224,Lotes!$A:$E,5,FALSE())*$U224,"")</f>
        <v/>
      </c>
      <c r="AS224" s="9" t="n">
        <f aca="false">IF($L224="","",$L224*2.6)</f>
        <v>3244800</v>
      </c>
      <c r="AT224" s="9"/>
      <c r="AU224" s="9" t="n">
        <v>1497600</v>
      </c>
      <c r="AV224" s="9" t="n">
        <v>999198.72</v>
      </c>
      <c r="AW224" s="9" t="n">
        <v>400.719999999972</v>
      </c>
      <c r="AX224" s="7" t="s">
        <v>657</v>
      </c>
      <c r="AY224" s="7" t="s">
        <v>94</v>
      </c>
      <c r="AZ224" s="7"/>
      <c r="BA224" s="7" t="s">
        <v>1491</v>
      </c>
      <c r="BB224" s="7" t="s">
        <v>1492</v>
      </c>
      <c r="BC224" s="11" t="s">
        <v>1493</v>
      </c>
      <c r="BD224" s="7" t="s">
        <v>662</v>
      </c>
      <c r="BE224" s="11"/>
    </row>
    <row r="225" customFormat="false" ht="15" hidden="false" customHeight="false" outlineLevel="0" collapsed="false">
      <c r="A225" s="6" t="n">
        <v>224</v>
      </c>
      <c r="B225" s="7" t="s">
        <v>1451</v>
      </c>
      <c r="C225" s="7" t="s">
        <v>1494</v>
      </c>
      <c r="D225" s="8" t="n">
        <v>1.3</v>
      </c>
      <c r="E225" s="7" t="s">
        <v>85</v>
      </c>
      <c r="F225" s="7" t="s">
        <v>86</v>
      </c>
      <c r="G225" s="6" t="n">
        <v>1</v>
      </c>
      <c r="H225" s="7" t="s">
        <v>1386</v>
      </c>
      <c r="I225" s="7" t="s">
        <v>271</v>
      </c>
      <c r="J225" s="7" t="s">
        <v>1495</v>
      </c>
      <c r="K225" s="7" t="s">
        <v>88</v>
      </c>
      <c r="L225" s="9" t="n">
        <v>715000</v>
      </c>
      <c r="M225" s="9"/>
      <c r="N225" s="9"/>
      <c r="O225" s="7" t="s">
        <v>154</v>
      </c>
      <c r="P225" s="7" t="s">
        <v>489</v>
      </c>
      <c r="Q225" s="7" t="s">
        <v>90</v>
      </c>
      <c r="R225" s="7" t="s">
        <v>1496</v>
      </c>
      <c r="S225" s="7" t="s">
        <v>356</v>
      </c>
      <c r="T225" s="7" t="s">
        <v>93</v>
      </c>
      <c r="U225" s="10"/>
      <c r="V225" s="7"/>
      <c r="W225" s="7"/>
      <c r="X225" s="7"/>
      <c r="Y225" s="7"/>
      <c r="Z225" s="7"/>
      <c r="AA225" s="7"/>
      <c r="AB225" s="8"/>
      <c r="AC225" s="6"/>
      <c r="AD225" s="6"/>
      <c r="AE225" s="6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8"/>
      <c r="AR225" s="9" t="str">
        <f aca="false">IFERROR(VLOOKUP($X225,Lotes!$A:$E,5,FALSE())*$U225,"")</f>
        <v/>
      </c>
      <c r="AS225" s="9" t="n">
        <f aca="false">IF($L225="","",$L225*2.6)</f>
        <v>1859000</v>
      </c>
      <c r="AT225" s="9"/>
      <c r="AU225" s="9" t="n">
        <v>929500</v>
      </c>
      <c r="AV225" s="9" t="n">
        <v>929500</v>
      </c>
      <c r="AW225" s="9" t="n">
        <v>0</v>
      </c>
      <c r="AX225" s="7" t="s">
        <v>489</v>
      </c>
      <c r="AY225" s="7" t="s">
        <v>94</v>
      </c>
      <c r="AZ225" s="7"/>
      <c r="BA225" s="7" t="s">
        <v>1497</v>
      </c>
      <c r="BB225" s="7" t="s">
        <v>1498</v>
      </c>
      <c r="BC225" s="11" t="s">
        <v>1499</v>
      </c>
      <c r="BD225" s="7" t="s">
        <v>98</v>
      </c>
      <c r="BE225" s="11" t="s">
        <v>763</v>
      </c>
    </row>
    <row r="226" customFormat="false" ht="15" hidden="false" customHeight="false" outlineLevel="0" collapsed="false">
      <c r="A226" s="6" t="n">
        <v>225</v>
      </c>
      <c r="B226" s="7" t="s">
        <v>1500</v>
      </c>
      <c r="C226" s="7" t="s">
        <v>1501</v>
      </c>
      <c r="D226" s="8" t="n">
        <v>2</v>
      </c>
      <c r="E226" s="7" t="s">
        <v>386</v>
      </c>
      <c r="F226" s="7" t="s">
        <v>765</v>
      </c>
      <c r="G226" s="6" t="n">
        <v>1</v>
      </c>
      <c r="H226" s="7" t="s">
        <v>101</v>
      </c>
      <c r="I226" s="7"/>
      <c r="J226" s="7"/>
      <c r="K226" s="7" t="s">
        <v>1502</v>
      </c>
      <c r="L226" s="9" t="n">
        <v>4970000</v>
      </c>
      <c r="M226" s="9"/>
      <c r="N226" s="9"/>
      <c r="O226" s="7" t="s">
        <v>108</v>
      </c>
      <c r="P226" s="7" t="s">
        <v>489</v>
      </c>
      <c r="Q226" s="7" t="s">
        <v>90</v>
      </c>
      <c r="R226" s="7" t="s">
        <v>1503</v>
      </c>
      <c r="S226" s="7" t="s">
        <v>1219</v>
      </c>
      <c r="T226" s="7" t="s">
        <v>93</v>
      </c>
      <c r="U226" s="10"/>
      <c r="V226" s="7"/>
      <c r="W226" s="7"/>
      <c r="X226" s="7"/>
      <c r="Y226" s="7"/>
      <c r="Z226" s="7"/>
      <c r="AA226" s="7"/>
      <c r="AB226" s="8"/>
      <c r="AC226" s="6"/>
      <c r="AD226" s="6"/>
      <c r="AE226" s="6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8"/>
      <c r="AR226" s="9" t="str">
        <f aca="false">IFERROR(VLOOKUP($X226,Lotes!$A:$E,5,FALSE())*$U226,"")</f>
        <v/>
      </c>
      <c r="AS226" s="9" t="n">
        <f aca="false">IF($L226="","",$L226*2.6)</f>
        <v>12922000</v>
      </c>
      <c r="AT226" s="9"/>
      <c r="AU226" s="9" t="n">
        <v>14910000</v>
      </c>
      <c r="AV226" s="9" t="n">
        <v>14910000</v>
      </c>
      <c r="AW226" s="9" t="n">
        <v>0</v>
      </c>
      <c r="AX226" s="7" t="s">
        <v>489</v>
      </c>
      <c r="AY226" s="7" t="s">
        <v>94</v>
      </c>
      <c r="AZ226" s="7"/>
      <c r="BA226" s="7" t="s">
        <v>1504</v>
      </c>
      <c r="BB226" s="7" t="s">
        <v>1505</v>
      </c>
      <c r="BC226" s="11" t="s">
        <v>1506</v>
      </c>
      <c r="BD226" s="7" t="s">
        <v>98</v>
      </c>
      <c r="BE226" s="11"/>
    </row>
    <row r="227" customFormat="false" ht="23.85" hidden="false" customHeight="false" outlineLevel="0" collapsed="false">
      <c r="A227" s="6" t="n">
        <v>226</v>
      </c>
      <c r="B227" s="7" t="s">
        <v>571</v>
      </c>
      <c r="C227" s="7" t="s">
        <v>1507</v>
      </c>
      <c r="D227" s="8" t="n">
        <v>1</v>
      </c>
      <c r="E227" s="7" t="s">
        <v>245</v>
      </c>
      <c r="F227" s="7" t="s">
        <v>1508</v>
      </c>
      <c r="G227" s="6" t="n">
        <v>1</v>
      </c>
      <c r="H227" s="7" t="s">
        <v>101</v>
      </c>
      <c r="I227" s="7" t="s">
        <v>271</v>
      </c>
      <c r="J227" s="7" t="s">
        <v>1509</v>
      </c>
      <c r="K227" s="7" t="s">
        <v>353</v>
      </c>
      <c r="L227" s="9" t="n">
        <v>115385</v>
      </c>
      <c r="M227" s="9"/>
      <c r="N227" s="9"/>
      <c r="O227" s="7" t="s">
        <v>41</v>
      </c>
      <c r="P227" s="7" t="s">
        <v>102</v>
      </c>
      <c r="Q227" s="7" t="s">
        <v>90</v>
      </c>
      <c r="R227" s="7" t="s">
        <v>1510</v>
      </c>
      <c r="S227" s="7" t="s">
        <v>356</v>
      </c>
      <c r="T227" s="7" t="s">
        <v>111</v>
      </c>
      <c r="U227" s="10"/>
      <c r="V227" s="7"/>
      <c r="W227" s="7"/>
      <c r="X227" s="7"/>
      <c r="Y227" s="7"/>
      <c r="Z227" s="7"/>
      <c r="AA227" s="7"/>
      <c r="AB227" s="8"/>
      <c r="AC227" s="6"/>
      <c r="AD227" s="6"/>
      <c r="AE227" s="6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8"/>
      <c r="AR227" s="9" t="str">
        <f aca="false">IFERROR(VLOOKUP($X227,Lotes!$A:$E,5,FALSE())*$U227,"")</f>
        <v/>
      </c>
      <c r="AS227" s="9" t="n">
        <f aca="false">IF($L227="","",$L227*2.6)</f>
        <v>300001</v>
      </c>
      <c r="AT227" s="9"/>
      <c r="AU227" s="9" t="n">
        <v>300000</v>
      </c>
      <c r="AV227" s="9" t="n">
        <v>300000</v>
      </c>
      <c r="AW227" s="9" t="n">
        <v>300000</v>
      </c>
      <c r="AX227" s="7" t="s">
        <v>102</v>
      </c>
      <c r="AY227" s="7" t="s">
        <v>112</v>
      </c>
      <c r="AZ227" s="7"/>
      <c r="BA227" s="7" t="s">
        <v>1511</v>
      </c>
      <c r="BB227" s="7" t="s">
        <v>1512</v>
      </c>
      <c r="BC227" s="11" t="s">
        <v>1513</v>
      </c>
      <c r="BD227" s="7" t="s">
        <v>98</v>
      </c>
      <c r="BE227" s="11" t="s">
        <v>99</v>
      </c>
    </row>
    <row r="228" customFormat="false" ht="23.85" hidden="false" customHeight="false" outlineLevel="0" collapsed="false">
      <c r="A228" s="6" t="n">
        <v>227</v>
      </c>
      <c r="B228" s="7" t="s">
        <v>571</v>
      </c>
      <c r="C228" s="7" t="s">
        <v>1514</v>
      </c>
      <c r="D228" s="8" t="n">
        <v>1</v>
      </c>
      <c r="E228" s="7" t="s">
        <v>245</v>
      </c>
      <c r="F228" s="7" t="s">
        <v>1508</v>
      </c>
      <c r="G228" s="6" t="n">
        <v>1</v>
      </c>
      <c r="H228" s="7" t="s">
        <v>101</v>
      </c>
      <c r="I228" s="7" t="s">
        <v>271</v>
      </c>
      <c r="J228" s="7" t="s">
        <v>1509</v>
      </c>
      <c r="K228" s="7" t="s">
        <v>353</v>
      </c>
      <c r="L228" s="9" t="n">
        <v>115385</v>
      </c>
      <c r="M228" s="9"/>
      <c r="N228" s="9"/>
      <c r="O228" s="7" t="s">
        <v>41</v>
      </c>
      <c r="P228" s="7" t="s">
        <v>102</v>
      </c>
      <c r="Q228" s="7" t="s">
        <v>90</v>
      </c>
      <c r="R228" s="7" t="s">
        <v>1515</v>
      </c>
      <c r="S228" s="7" t="s">
        <v>356</v>
      </c>
      <c r="T228" s="7" t="s">
        <v>111</v>
      </c>
      <c r="U228" s="10"/>
      <c r="V228" s="7"/>
      <c r="W228" s="7"/>
      <c r="X228" s="7"/>
      <c r="Y228" s="7"/>
      <c r="Z228" s="7"/>
      <c r="AA228" s="7"/>
      <c r="AB228" s="8"/>
      <c r="AC228" s="6"/>
      <c r="AD228" s="6"/>
      <c r="AE228" s="6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8"/>
      <c r="AR228" s="9" t="str">
        <f aca="false">IFERROR(VLOOKUP($X228,Lotes!$A:$E,5,FALSE())*$U228,"")</f>
        <v/>
      </c>
      <c r="AS228" s="9" t="n">
        <f aca="false">IF($L228="","",$L228*2.6)</f>
        <v>300001</v>
      </c>
      <c r="AT228" s="9"/>
      <c r="AU228" s="9" t="n">
        <v>300000</v>
      </c>
      <c r="AV228" s="9" t="n">
        <v>300000</v>
      </c>
      <c r="AW228" s="9" t="n">
        <v>300000</v>
      </c>
      <c r="AX228" s="7" t="s">
        <v>102</v>
      </c>
      <c r="AY228" s="7" t="s">
        <v>112</v>
      </c>
      <c r="AZ228" s="7"/>
      <c r="BA228" s="7" t="s">
        <v>1516</v>
      </c>
      <c r="BB228" s="7" t="s">
        <v>1517</v>
      </c>
      <c r="BC228" s="11" t="s">
        <v>1518</v>
      </c>
      <c r="BD228" s="7" t="s">
        <v>98</v>
      </c>
      <c r="BE228" s="11" t="s">
        <v>99</v>
      </c>
    </row>
    <row r="229" customFormat="false" ht="46.25" hidden="false" customHeight="false" outlineLevel="0" collapsed="false">
      <c r="A229" s="6" t="n">
        <v>228</v>
      </c>
      <c r="B229" s="7" t="s">
        <v>1256</v>
      </c>
      <c r="C229" s="7" t="s">
        <v>1519</v>
      </c>
      <c r="D229" s="8" t="n">
        <v>0.98</v>
      </c>
      <c r="E229" s="7" t="s">
        <v>245</v>
      </c>
      <c r="F229" s="7" t="s">
        <v>148</v>
      </c>
      <c r="G229" s="6" t="n">
        <v>1</v>
      </c>
      <c r="H229" s="7" t="s">
        <v>87</v>
      </c>
      <c r="I229" s="7" t="s">
        <v>271</v>
      </c>
      <c r="J229" s="7" t="s">
        <v>1520</v>
      </c>
      <c r="K229" s="7" t="s">
        <v>88</v>
      </c>
      <c r="L229" s="9" t="n">
        <v>110000</v>
      </c>
      <c r="M229" s="9"/>
      <c r="N229" s="9"/>
      <c r="O229" s="7" t="s">
        <v>41</v>
      </c>
      <c r="P229" s="7" t="s">
        <v>159</v>
      </c>
      <c r="Q229" s="7" t="s">
        <v>90</v>
      </c>
      <c r="R229" s="7" t="s">
        <v>1521</v>
      </c>
      <c r="S229" s="7" t="s">
        <v>651</v>
      </c>
      <c r="T229" s="7" t="s">
        <v>93</v>
      </c>
      <c r="U229" s="10"/>
      <c r="V229" s="7"/>
      <c r="W229" s="7"/>
      <c r="X229" s="7"/>
      <c r="Y229" s="7"/>
      <c r="Z229" s="7"/>
      <c r="AA229" s="7"/>
      <c r="AB229" s="8"/>
      <c r="AC229" s="6"/>
      <c r="AD229" s="6"/>
      <c r="AE229" s="6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8"/>
      <c r="AR229" s="9" t="str">
        <f aca="false">IFERROR(VLOOKUP($X229,Lotes!$A:$E,5,FALSE())*$U229,"")</f>
        <v/>
      </c>
      <c r="AS229" s="9" t="n">
        <f aca="false">IF($L229="","",$L229*2.6)</f>
        <v>286000</v>
      </c>
      <c r="AT229" s="9"/>
      <c r="AU229" s="9" t="n">
        <v>330000</v>
      </c>
      <c r="AV229" s="9" t="n">
        <v>297000</v>
      </c>
      <c r="AW229" s="9" t="n">
        <v>0</v>
      </c>
      <c r="AX229" s="7" t="s">
        <v>305</v>
      </c>
      <c r="AY229" s="7" t="s">
        <v>94</v>
      </c>
      <c r="AZ229" s="7"/>
      <c r="BA229" s="7" t="s">
        <v>1522</v>
      </c>
      <c r="BB229" s="7" t="s">
        <v>1523</v>
      </c>
      <c r="BC229" s="11" t="s">
        <v>1524</v>
      </c>
      <c r="BD229" s="7" t="s">
        <v>98</v>
      </c>
      <c r="BE229" s="11" t="s">
        <v>1525</v>
      </c>
    </row>
    <row r="230" customFormat="false" ht="46.25" hidden="false" customHeight="false" outlineLevel="0" collapsed="false">
      <c r="A230" s="6" t="n">
        <v>229</v>
      </c>
      <c r="B230" s="7" t="s">
        <v>1256</v>
      </c>
      <c r="C230" s="7" t="s">
        <v>1526</v>
      </c>
      <c r="D230" s="8" t="n">
        <v>0.79</v>
      </c>
      <c r="E230" s="7" t="s">
        <v>245</v>
      </c>
      <c r="F230" s="7" t="s">
        <v>148</v>
      </c>
      <c r="G230" s="6" t="n">
        <v>1</v>
      </c>
      <c r="H230" s="7" t="s">
        <v>101</v>
      </c>
      <c r="I230" s="7" t="s">
        <v>271</v>
      </c>
      <c r="J230" s="7" t="s">
        <v>1527</v>
      </c>
      <c r="K230" s="7" t="s">
        <v>88</v>
      </c>
      <c r="L230" s="9" t="n">
        <v>95000</v>
      </c>
      <c r="M230" s="9"/>
      <c r="N230" s="9"/>
      <c r="O230" s="7" t="s">
        <v>41</v>
      </c>
      <c r="P230" s="7" t="s">
        <v>159</v>
      </c>
      <c r="Q230" s="7" t="s">
        <v>90</v>
      </c>
      <c r="R230" s="7" t="s">
        <v>1528</v>
      </c>
      <c r="S230" s="7" t="s">
        <v>651</v>
      </c>
      <c r="T230" s="7" t="s">
        <v>93</v>
      </c>
      <c r="U230" s="10"/>
      <c r="V230" s="7"/>
      <c r="W230" s="7"/>
      <c r="X230" s="7"/>
      <c r="Y230" s="7"/>
      <c r="Z230" s="7"/>
      <c r="AA230" s="7"/>
      <c r="AB230" s="8"/>
      <c r="AC230" s="6"/>
      <c r="AD230" s="6"/>
      <c r="AE230" s="6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8"/>
      <c r="AR230" s="9" t="str">
        <f aca="false">IFERROR(VLOOKUP($X230,Lotes!$A:$E,5,FALSE())*$U230,"")</f>
        <v/>
      </c>
      <c r="AS230" s="9" t="n">
        <f aca="false">IF($L230="","",$L230*2.6)</f>
        <v>247000</v>
      </c>
      <c r="AT230" s="9"/>
      <c r="AU230" s="9" t="n">
        <v>285000</v>
      </c>
      <c r="AV230" s="9" t="n">
        <v>256500</v>
      </c>
      <c r="AW230" s="9" t="n">
        <v>0</v>
      </c>
      <c r="AX230" s="7" t="s">
        <v>127</v>
      </c>
      <c r="AY230" s="7" t="s">
        <v>94</v>
      </c>
      <c r="AZ230" s="7"/>
      <c r="BA230" s="7" t="s">
        <v>1529</v>
      </c>
      <c r="BB230" s="7" t="s">
        <v>1530</v>
      </c>
      <c r="BC230" s="11" t="s">
        <v>1531</v>
      </c>
      <c r="BD230" s="7" t="s">
        <v>98</v>
      </c>
      <c r="BE230" s="11" t="s">
        <v>1532</v>
      </c>
    </row>
    <row r="231" customFormat="false" ht="46.25" hidden="false" customHeight="false" outlineLevel="0" collapsed="false">
      <c r="A231" s="6" t="n">
        <v>230</v>
      </c>
      <c r="B231" s="7" t="s">
        <v>1256</v>
      </c>
      <c r="C231" s="7" t="s">
        <v>1533</v>
      </c>
      <c r="D231" s="8" t="n">
        <v>0.77</v>
      </c>
      <c r="E231" s="7" t="s">
        <v>172</v>
      </c>
      <c r="F231" s="7" t="s">
        <v>148</v>
      </c>
      <c r="G231" s="6" t="n">
        <v>1</v>
      </c>
      <c r="H231" s="7" t="s">
        <v>124</v>
      </c>
      <c r="I231" s="7" t="s">
        <v>271</v>
      </c>
      <c r="J231" s="7" t="s">
        <v>1534</v>
      </c>
      <c r="K231" s="7" t="s">
        <v>88</v>
      </c>
      <c r="L231" s="9" t="n">
        <v>85000</v>
      </c>
      <c r="M231" s="9"/>
      <c r="N231" s="9"/>
      <c r="O231" s="7" t="s">
        <v>41</v>
      </c>
      <c r="P231" s="7" t="s">
        <v>159</v>
      </c>
      <c r="Q231" s="7" t="s">
        <v>90</v>
      </c>
      <c r="R231" s="7" t="s">
        <v>1535</v>
      </c>
      <c r="S231" s="7" t="s">
        <v>651</v>
      </c>
      <c r="T231" s="7" t="s">
        <v>93</v>
      </c>
      <c r="U231" s="10"/>
      <c r="V231" s="7"/>
      <c r="W231" s="7"/>
      <c r="X231" s="7"/>
      <c r="Y231" s="7"/>
      <c r="Z231" s="7"/>
      <c r="AA231" s="7"/>
      <c r="AB231" s="8"/>
      <c r="AC231" s="6"/>
      <c r="AD231" s="6"/>
      <c r="AE231" s="6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8"/>
      <c r="AR231" s="9" t="str">
        <f aca="false">IFERROR(VLOOKUP($X231,Lotes!$A:$E,5,FALSE())*$U231,"")</f>
        <v/>
      </c>
      <c r="AS231" s="9" t="n">
        <f aca="false">IF($L231="","",$L231*2.6)</f>
        <v>221000</v>
      </c>
      <c r="AT231" s="9"/>
      <c r="AU231" s="9" t="n">
        <v>255000</v>
      </c>
      <c r="AV231" s="9" t="n">
        <v>229500</v>
      </c>
      <c r="AW231" s="9" t="n">
        <v>0</v>
      </c>
      <c r="AX231" s="7" t="s">
        <v>657</v>
      </c>
      <c r="AY231" s="7" t="s">
        <v>94</v>
      </c>
      <c r="AZ231" s="7"/>
      <c r="BA231" s="7" t="s">
        <v>1536</v>
      </c>
      <c r="BB231" s="7" t="s">
        <v>1537</v>
      </c>
      <c r="BC231" s="11" t="s">
        <v>1538</v>
      </c>
      <c r="BD231" s="7" t="s">
        <v>98</v>
      </c>
      <c r="BE231" s="11" t="s">
        <v>1223</v>
      </c>
    </row>
    <row r="232" customFormat="false" ht="46.25" hidden="false" customHeight="false" outlineLevel="0" collapsed="false">
      <c r="A232" s="6" t="n">
        <v>231</v>
      </c>
      <c r="B232" s="7" t="s">
        <v>1256</v>
      </c>
      <c r="C232" s="7" t="s">
        <v>1539</v>
      </c>
      <c r="D232" s="8" t="n">
        <v>0.21</v>
      </c>
      <c r="E232" s="7" t="s">
        <v>172</v>
      </c>
      <c r="F232" s="7" t="s">
        <v>148</v>
      </c>
      <c r="G232" s="6" t="n">
        <v>1</v>
      </c>
      <c r="H232" s="7" t="s">
        <v>124</v>
      </c>
      <c r="I232" s="7" t="s">
        <v>271</v>
      </c>
      <c r="J232" s="7" t="s">
        <v>1540</v>
      </c>
      <c r="K232" s="7" t="s">
        <v>88</v>
      </c>
      <c r="L232" s="9" t="n">
        <v>75000</v>
      </c>
      <c r="M232" s="9"/>
      <c r="N232" s="9"/>
      <c r="O232" s="7" t="s">
        <v>41</v>
      </c>
      <c r="P232" s="7" t="s">
        <v>159</v>
      </c>
      <c r="Q232" s="7" t="s">
        <v>90</v>
      </c>
      <c r="R232" s="7" t="s">
        <v>1541</v>
      </c>
      <c r="S232" s="7" t="s">
        <v>651</v>
      </c>
      <c r="T232" s="7" t="s">
        <v>93</v>
      </c>
      <c r="U232" s="10"/>
      <c r="V232" s="7"/>
      <c r="W232" s="7"/>
      <c r="X232" s="7"/>
      <c r="Y232" s="7"/>
      <c r="Z232" s="7"/>
      <c r="AA232" s="7"/>
      <c r="AB232" s="8"/>
      <c r="AC232" s="6"/>
      <c r="AD232" s="6"/>
      <c r="AE232" s="6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8"/>
      <c r="AR232" s="9" t="str">
        <f aca="false">IFERROR(VLOOKUP($X232,Lotes!$A:$E,5,FALSE())*$U232,"")</f>
        <v/>
      </c>
      <c r="AS232" s="9" t="n">
        <f aca="false">IF($L232="","",$L232*2.6)</f>
        <v>195000</v>
      </c>
      <c r="AT232" s="9"/>
      <c r="AU232" s="9" t="n">
        <v>225000</v>
      </c>
      <c r="AV232" s="9" t="n">
        <v>202500</v>
      </c>
      <c r="AW232" s="9" t="n">
        <v>0</v>
      </c>
      <c r="AX232" s="7" t="s">
        <v>657</v>
      </c>
      <c r="AY232" s="7" t="s">
        <v>94</v>
      </c>
      <c r="AZ232" s="7"/>
      <c r="BA232" s="7" t="s">
        <v>1542</v>
      </c>
      <c r="BB232" s="7" t="s">
        <v>1543</v>
      </c>
      <c r="BC232" s="11" t="s">
        <v>1544</v>
      </c>
      <c r="BD232" s="7" t="s">
        <v>98</v>
      </c>
      <c r="BE232" s="11" t="s">
        <v>1223</v>
      </c>
    </row>
    <row r="233" customFormat="false" ht="15" hidden="false" customHeight="false" outlineLevel="0" collapsed="false">
      <c r="A233" s="6" t="n">
        <v>232</v>
      </c>
      <c r="B233" s="7" t="s">
        <v>648</v>
      </c>
      <c r="C233" s="7" t="s">
        <v>1545</v>
      </c>
      <c r="D233" s="8" t="n">
        <v>1.08</v>
      </c>
      <c r="E233" s="7" t="s">
        <v>172</v>
      </c>
      <c r="F233" s="7" t="s">
        <v>86</v>
      </c>
      <c r="G233" s="6" t="n">
        <v>1</v>
      </c>
      <c r="H233" s="7" t="s">
        <v>124</v>
      </c>
      <c r="I233" s="7"/>
      <c r="J233" s="7"/>
      <c r="K233" s="7" t="s">
        <v>88</v>
      </c>
      <c r="L233" s="9" t="n">
        <v>556848</v>
      </c>
      <c r="M233" s="9"/>
      <c r="N233" s="9"/>
      <c r="O233" s="7" t="s">
        <v>41</v>
      </c>
      <c r="P233" s="7" t="s">
        <v>102</v>
      </c>
      <c r="Q233" s="7" t="s">
        <v>90</v>
      </c>
      <c r="R233" s="7" t="s">
        <v>1546</v>
      </c>
      <c r="S233" s="7" t="s">
        <v>651</v>
      </c>
      <c r="T233" s="7" t="s">
        <v>93</v>
      </c>
      <c r="U233" s="10"/>
      <c r="V233" s="7"/>
      <c r="W233" s="7"/>
      <c r="X233" s="7"/>
      <c r="Y233" s="7"/>
      <c r="Z233" s="7"/>
      <c r="AA233" s="7"/>
      <c r="AB233" s="8"/>
      <c r="AC233" s="6"/>
      <c r="AD233" s="6"/>
      <c r="AE233" s="6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8"/>
      <c r="AR233" s="9" t="str">
        <f aca="false">IFERROR(VLOOKUP($X233,Lotes!$A:$E,5,FALSE())*$U233,"")</f>
        <v/>
      </c>
      <c r="AS233" s="9" t="n">
        <f aca="false">IF($L233="","",$L233*2.6)</f>
        <v>1447804.8</v>
      </c>
      <c r="AT233" s="9"/>
      <c r="AU233" s="9" t="n">
        <v>863297</v>
      </c>
      <c r="AV233" s="9" t="n">
        <v>690637.6</v>
      </c>
      <c r="AW233" s="9" t="n">
        <v>-0.400000000023283</v>
      </c>
      <c r="AX233" s="7" t="s">
        <v>102</v>
      </c>
      <c r="AY233" s="7" t="s">
        <v>94</v>
      </c>
      <c r="AZ233" s="7"/>
      <c r="BA233" s="7" t="s">
        <v>1547</v>
      </c>
      <c r="BB233" s="7" t="s">
        <v>1548</v>
      </c>
      <c r="BC233" s="11" t="s">
        <v>1549</v>
      </c>
      <c r="BD233" s="7" t="s">
        <v>98</v>
      </c>
      <c r="BE233" s="11" t="s">
        <v>763</v>
      </c>
    </row>
    <row r="234" customFormat="false" ht="68.65" hidden="false" customHeight="false" outlineLevel="0" collapsed="false">
      <c r="A234" s="6" t="n">
        <v>233</v>
      </c>
      <c r="B234" s="7" t="s">
        <v>648</v>
      </c>
      <c r="C234" s="7" t="s">
        <v>1550</v>
      </c>
      <c r="D234" s="8" t="n">
        <v>0.95</v>
      </c>
      <c r="E234" s="7" t="s">
        <v>172</v>
      </c>
      <c r="F234" s="7" t="s">
        <v>86</v>
      </c>
      <c r="G234" s="6" t="n">
        <v>1</v>
      </c>
      <c r="H234" s="7" t="s">
        <v>124</v>
      </c>
      <c r="I234" s="7"/>
      <c r="J234" s="7"/>
      <c r="K234" s="7" t="s">
        <v>88</v>
      </c>
      <c r="L234" s="9" t="n">
        <v>489820</v>
      </c>
      <c r="M234" s="9"/>
      <c r="N234" s="9"/>
      <c r="O234" s="7" t="s">
        <v>154</v>
      </c>
      <c r="P234" s="7" t="s">
        <v>89</v>
      </c>
      <c r="Q234" s="7" t="s">
        <v>155</v>
      </c>
      <c r="R234" s="7" t="s">
        <v>1551</v>
      </c>
      <c r="S234" s="7" t="s">
        <v>651</v>
      </c>
      <c r="T234" s="7"/>
      <c r="U234" s="10"/>
      <c r="V234" s="7"/>
      <c r="W234" s="7"/>
      <c r="X234" s="7" t="s">
        <v>674</v>
      </c>
      <c r="Y234" s="7"/>
      <c r="Z234" s="7"/>
      <c r="AA234" s="7"/>
      <c r="AB234" s="8"/>
      <c r="AC234" s="6"/>
      <c r="AD234" s="6"/>
      <c r="AE234" s="6"/>
      <c r="AF234" s="7" t="s">
        <v>583</v>
      </c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8"/>
      <c r="AR234" s="9" t="n">
        <f aca="false">IFERROR(VLOOKUP($X234,Lotes!$A:$E,5,FALSE())*$U234,"")</f>
        <v>0</v>
      </c>
      <c r="AS234" s="9" t="n">
        <f aca="false">IF($L234="","",$L234*2.6)</f>
        <v>1273532</v>
      </c>
      <c r="AT234" s="9"/>
      <c r="AU234" s="9" t="n">
        <v>759382</v>
      </c>
      <c r="AV234" s="9" t="n">
        <v>759382</v>
      </c>
      <c r="AW234" s="9" t="n">
        <v>759382</v>
      </c>
      <c r="AX234" s="7" t="s">
        <v>159</v>
      </c>
      <c r="AY234" s="7" t="s">
        <v>160</v>
      </c>
      <c r="AZ234" s="7"/>
      <c r="BA234" s="7" t="s">
        <v>1552</v>
      </c>
      <c r="BB234" s="7" t="s">
        <v>1553</v>
      </c>
      <c r="BC234" s="11" t="s">
        <v>1554</v>
      </c>
      <c r="BD234" s="7" t="s">
        <v>164</v>
      </c>
      <c r="BE234" s="11" t="s">
        <v>1555</v>
      </c>
    </row>
    <row r="235" customFormat="false" ht="68.65" hidden="false" customHeight="false" outlineLevel="0" collapsed="false">
      <c r="A235" s="6" t="n">
        <v>234</v>
      </c>
      <c r="B235" s="7" t="s">
        <v>648</v>
      </c>
      <c r="C235" s="7" t="s">
        <v>1556</v>
      </c>
      <c r="D235" s="8" t="n">
        <v>1.24</v>
      </c>
      <c r="E235" s="7" t="s">
        <v>172</v>
      </c>
      <c r="F235" s="7" t="s">
        <v>86</v>
      </c>
      <c r="G235" s="6" t="n">
        <v>1</v>
      </c>
      <c r="H235" s="7" t="s">
        <v>124</v>
      </c>
      <c r="I235" s="7"/>
      <c r="J235" s="7"/>
      <c r="K235" s="7" t="s">
        <v>88</v>
      </c>
      <c r="L235" s="9" t="n">
        <v>636766</v>
      </c>
      <c r="M235" s="9"/>
      <c r="N235" s="9"/>
      <c r="O235" s="7" t="s">
        <v>154</v>
      </c>
      <c r="P235" s="7" t="s">
        <v>89</v>
      </c>
      <c r="Q235" s="7" t="s">
        <v>155</v>
      </c>
      <c r="R235" s="7" t="s">
        <v>1557</v>
      </c>
      <c r="S235" s="7" t="s">
        <v>651</v>
      </c>
      <c r="T235" s="7"/>
      <c r="U235" s="10"/>
      <c r="V235" s="7"/>
      <c r="W235" s="7"/>
      <c r="X235" s="7" t="s">
        <v>674</v>
      </c>
      <c r="Y235" s="7"/>
      <c r="Z235" s="7"/>
      <c r="AA235" s="7"/>
      <c r="AB235" s="8"/>
      <c r="AC235" s="6"/>
      <c r="AD235" s="6"/>
      <c r="AE235" s="6"/>
      <c r="AF235" s="7" t="s">
        <v>583</v>
      </c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8"/>
      <c r="AR235" s="9" t="n">
        <f aca="false">IFERROR(VLOOKUP($X235,Lotes!$A:$E,5,FALSE())*$U235,"")</f>
        <v>0</v>
      </c>
      <c r="AS235" s="9" t="n">
        <f aca="false">IF($L235="","",$L235*2.6)</f>
        <v>1655591.6</v>
      </c>
      <c r="AT235" s="9"/>
      <c r="AU235" s="9" t="n">
        <v>987196</v>
      </c>
      <c r="AV235" s="9" t="n">
        <v>987196</v>
      </c>
      <c r="AW235" s="9" t="n">
        <v>987196</v>
      </c>
      <c r="AX235" s="7" t="s">
        <v>159</v>
      </c>
      <c r="AY235" s="7" t="s">
        <v>160</v>
      </c>
      <c r="AZ235" s="7"/>
      <c r="BA235" s="7" t="s">
        <v>1558</v>
      </c>
      <c r="BB235" s="7" t="s">
        <v>1559</v>
      </c>
      <c r="BC235" s="11" t="s">
        <v>1560</v>
      </c>
      <c r="BD235" s="7" t="s">
        <v>164</v>
      </c>
      <c r="BE235" s="11" t="s">
        <v>1555</v>
      </c>
    </row>
    <row r="236" customFormat="false" ht="15" hidden="false" customHeight="false" outlineLevel="0" collapsed="false">
      <c r="A236" s="6" t="n">
        <v>235</v>
      </c>
      <c r="B236" s="7" t="s">
        <v>648</v>
      </c>
      <c r="C236" s="7" t="s">
        <v>1561</v>
      </c>
      <c r="D236" s="8" t="n">
        <v>1.36</v>
      </c>
      <c r="E236" s="7" t="s">
        <v>172</v>
      </c>
      <c r="F236" s="7" t="s">
        <v>86</v>
      </c>
      <c r="G236" s="6" t="n">
        <v>1</v>
      </c>
      <c r="H236" s="7" t="s">
        <v>124</v>
      </c>
      <c r="I236" s="7"/>
      <c r="J236" s="7"/>
      <c r="K236" s="7" t="s">
        <v>88</v>
      </c>
      <c r="L236" s="9" t="n">
        <v>698638</v>
      </c>
      <c r="M236" s="9"/>
      <c r="N236" s="9"/>
      <c r="O236" s="7" t="s">
        <v>41</v>
      </c>
      <c r="P236" s="7" t="s">
        <v>102</v>
      </c>
      <c r="Q236" s="7" t="s">
        <v>90</v>
      </c>
      <c r="R236" s="7" t="s">
        <v>1562</v>
      </c>
      <c r="S236" s="7" t="s">
        <v>651</v>
      </c>
      <c r="T236" s="7" t="s">
        <v>93</v>
      </c>
      <c r="U236" s="10"/>
      <c r="V236" s="7"/>
      <c r="W236" s="7"/>
      <c r="X236" s="7"/>
      <c r="Y236" s="7"/>
      <c r="Z236" s="7"/>
      <c r="AA236" s="7"/>
      <c r="AB236" s="8"/>
      <c r="AC236" s="6"/>
      <c r="AD236" s="6"/>
      <c r="AE236" s="6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8"/>
      <c r="AR236" s="9" t="str">
        <f aca="false">IFERROR(VLOOKUP($X236,Lotes!$A:$E,5,FALSE())*$U236,"")</f>
        <v/>
      </c>
      <c r="AS236" s="9" t="n">
        <f aca="false">IF($L236="","",$L236*2.6)</f>
        <v>1816458.8</v>
      </c>
      <c r="AT236" s="9"/>
      <c r="AU236" s="9" t="n">
        <v>1083118</v>
      </c>
      <c r="AV236" s="9" t="n">
        <v>866494.4</v>
      </c>
      <c r="AW236" s="9" t="n">
        <v>0.400000000023283</v>
      </c>
      <c r="AX236" s="7" t="s">
        <v>102</v>
      </c>
      <c r="AY236" s="7" t="s">
        <v>94</v>
      </c>
      <c r="AZ236" s="7"/>
      <c r="BA236" s="7" t="s">
        <v>1563</v>
      </c>
      <c r="BB236" s="7" t="s">
        <v>1564</v>
      </c>
      <c r="BC236" s="11" t="s">
        <v>1565</v>
      </c>
      <c r="BD236" s="7" t="s">
        <v>98</v>
      </c>
      <c r="BE236" s="11"/>
    </row>
    <row r="237" customFormat="false" ht="68.65" hidden="false" customHeight="false" outlineLevel="0" collapsed="false">
      <c r="A237" s="6" t="n">
        <v>236</v>
      </c>
      <c r="B237" s="7" t="s">
        <v>648</v>
      </c>
      <c r="C237" s="7" t="s">
        <v>1566</v>
      </c>
      <c r="D237" s="8" t="n">
        <v>0.66</v>
      </c>
      <c r="E237" s="7" t="s">
        <v>172</v>
      </c>
      <c r="F237" s="7" t="s">
        <v>86</v>
      </c>
      <c r="G237" s="6" t="n">
        <v>1</v>
      </c>
      <c r="H237" s="7" t="s">
        <v>789</v>
      </c>
      <c r="I237" s="7"/>
      <c r="J237" s="7"/>
      <c r="K237" s="7" t="s">
        <v>88</v>
      </c>
      <c r="L237" s="9" t="n">
        <v>340296</v>
      </c>
      <c r="M237" s="9"/>
      <c r="N237" s="9"/>
      <c r="O237" s="7" t="s">
        <v>154</v>
      </c>
      <c r="P237" s="7" t="s">
        <v>89</v>
      </c>
      <c r="Q237" s="7" t="s">
        <v>155</v>
      </c>
      <c r="R237" s="7" t="s">
        <v>1567</v>
      </c>
      <c r="S237" s="7" t="s">
        <v>651</v>
      </c>
      <c r="T237" s="7"/>
      <c r="U237" s="10"/>
      <c r="V237" s="7"/>
      <c r="W237" s="7"/>
      <c r="X237" s="7" t="s">
        <v>674</v>
      </c>
      <c r="Y237" s="7"/>
      <c r="Z237" s="7"/>
      <c r="AA237" s="7"/>
      <c r="AB237" s="8"/>
      <c r="AC237" s="6"/>
      <c r="AD237" s="6"/>
      <c r="AE237" s="6"/>
      <c r="AF237" s="7" t="s">
        <v>583</v>
      </c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8"/>
      <c r="AR237" s="9" t="n">
        <f aca="false">IFERROR(VLOOKUP($X237,Lotes!$A:$E,5,FALSE())*$U237,"")</f>
        <v>0</v>
      </c>
      <c r="AS237" s="9" t="n">
        <f aca="false">IF($L237="","",$L237*2.6)</f>
        <v>884769.6</v>
      </c>
      <c r="AT237" s="9"/>
      <c r="AU237" s="9" t="n">
        <v>1020744</v>
      </c>
      <c r="AV237" s="9" t="n">
        <v>1020744</v>
      </c>
      <c r="AW237" s="9" t="n">
        <v>1020744</v>
      </c>
      <c r="AX237" s="7" t="s">
        <v>159</v>
      </c>
      <c r="AY237" s="7" t="s">
        <v>160</v>
      </c>
      <c r="AZ237" s="7"/>
      <c r="BA237" s="7" t="s">
        <v>1568</v>
      </c>
      <c r="BB237" s="7" t="s">
        <v>1569</v>
      </c>
      <c r="BC237" s="11" t="s">
        <v>1570</v>
      </c>
      <c r="BD237" s="7" t="s">
        <v>164</v>
      </c>
      <c r="BE237" s="11" t="s">
        <v>1555</v>
      </c>
    </row>
    <row r="238" customFormat="false" ht="79.85" hidden="false" customHeight="false" outlineLevel="0" collapsed="false">
      <c r="A238" s="6" t="n">
        <v>237</v>
      </c>
      <c r="B238" s="7" t="s">
        <v>648</v>
      </c>
      <c r="C238" s="7" t="s">
        <v>1571</v>
      </c>
      <c r="D238" s="8" t="n">
        <v>0.48</v>
      </c>
      <c r="E238" s="7" t="s">
        <v>172</v>
      </c>
      <c r="F238" s="7" t="s">
        <v>86</v>
      </c>
      <c r="G238" s="6" t="n">
        <v>1</v>
      </c>
      <c r="H238" s="7" t="s">
        <v>789</v>
      </c>
      <c r="I238" s="7" t="s">
        <v>271</v>
      </c>
      <c r="J238" s="7" t="s">
        <v>1572</v>
      </c>
      <c r="K238" s="7" t="s">
        <v>88</v>
      </c>
      <c r="L238" s="9" t="n">
        <v>274576</v>
      </c>
      <c r="M238" s="9"/>
      <c r="N238" s="9"/>
      <c r="O238" s="7" t="s">
        <v>154</v>
      </c>
      <c r="P238" s="7" t="s">
        <v>89</v>
      </c>
      <c r="Q238" s="7" t="s">
        <v>155</v>
      </c>
      <c r="R238" s="7" t="s">
        <v>1573</v>
      </c>
      <c r="S238" s="7" t="s">
        <v>651</v>
      </c>
      <c r="T238" s="7"/>
      <c r="U238" s="10"/>
      <c r="V238" s="7"/>
      <c r="W238" s="7"/>
      <c r="X238" s="7" t="s">
        <v>611</v>
      </c>
      <c r="Y238" s="7"/>
      <c r="Z238" s="7"/>
      <c r="AA238" s="7"/>
      <c r="AB238" s="8"/>
      <c r="AC238" s="6"/>
      <c r="AD238" s="6"/>
      <c r="AE238" s="6"/>
      <c r="AF238" s="7" t="s">
        <v>583</v>
      </c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8" t="n">
        <v>1.52</v>
      </c>
      <c r="AR238" s="9" t="n">
        <f aca="false">IFERROR(VLOOKUP($X238,Lotes!$A:$E,5,FALSE())*$U238,"")</f>
        <v>0</v>
      </c>
      <c r="AS238" s="9" t="n">
        <f aca="false">IF($L238="","",$L238*2.6)</f>
        <v>713897.6</v>
      </c>
      <c r="AT238" s="9"/>
      <c r="AU238" s="9" t="n">
        <v>703694</v>
      </c>
      <c r="AV238" s="9" t="n">
        <v>703694</v>
      </c>
      <c r="AW238" s="9" t="n">
        <v>703694</v>
      </c>
      <c r="AX238" s="7" t="s">
        <v>159</v>
      </c>
      <c r="AY238" s="7" t="s">
        <v>160</v>
      </c>
      <c r="AZ238" s="7"/>
      <c r="BA238" s="7" t="s">
        <v>1574</v>
      </c>
      <c r="BB238" s="7" t="s">
        <v>1575</v>
      </c>
      <c r="BC238" s="11" t="s">
        <v>1576</v>
      </c>
      <c r="BD238" s="7" t="s">
        <v>164</v>
      </c>
      <c r="BE238" s="11" t="s">
        <v>1577</v>
      </c>
    </row>
    <row r="239" customFormat="false" ht="79.85" hidden="false" customHeight="false" outlineLevel="0" collapsed="false">
      <c r="A239" s="6" t="n">
        <v>238</v>
      </c>
      <c r="B239" s="7" t="s">
        <v>648</v>
      </c>
      <c r="C239" s="7" t="s">
        <v>1578</v>
      </c>
      <c r="D239" s="8" t="n">
        <v>0.59</v>
      </c>
      <c r="E239" s="7" t="s">
        <v>172</v>
      </c>
      <c r="F239" s="7" t="s">
        <v>86</v>
      </c>
      <c r="G239" s="6" t="n">
        <v>1</v>
      </c>
      <c r="H239" s="7" t="s">
        <v>789</v>
      </c>
      <c r="I239" s="7" t="s">
        <v>271</v>
      </c>
      <c r="J239" s="7" t="s">
        <v>1579</v>
      </c>
      <c r="K239" s="7" t="s">
        <v>88</v>
      </c>
      <c r="L239" s="9" t="n">
        <v>344576</v>
      </c>
      <c r="M239" s="9"/>
      <c r="N239" s="9"/>
      <c r="O239" s="7" t="s">
        <v>154</v>
      </c>
      <c r="P239" s="7" t="s">
        <v>89</v>
      </c>
      <c r="Q239" s="7" t="s">
        <v>155</v>
      </c>
      <c r="R239" s="7" t="s">
        <v>1580</v>
      </c>
      <c r="S239" s="7" t="s">
        <v>651</v>
      </c>
      <c r="T239" s="7"/>
      <c r="U239" s="10"/>
      <c r="V239" s="7"/>
      <c r="W239" s="7"/>
      <c r="X239" s="7" t="s">
        <v>611</v>
      </c>
      <c r="Y239" s="7"/>
      <c r="Z239" s="7"/>
      <c r="AA239" s="7"/>
      <c r="AB239" s="8"/>
      <c r="AC239" s="6"/>
      <c r="AD239" s="6"/>
      <c r="AE239" s="6"/>
      <c r="AF239" s="7" t="s">
        <v>583</v>
      </c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8" t="n">
        <v>1.31</v>
      </c>
      <c r="AR239" s="9" t="n">
        <f aca="false">IFERROR(VLOOKUP($X239,Lotes!$A:$E,5,FALSE())*$U239,"")</f>
        <v>0</v>
      </c>
      <c r="AS239" s="9" t="n">
        <f aca="false">IF($L239="","",$L239*2.6)</f>
        <v>895897.6</v>
      </c>
      <c r="AT239" s="9"/>
      <c r="AU239" s="9" t="n">
        <v>912483</v>
      </c>
      <c r="AV239" s="9" t="n">
        <v>912483</v>
      </c>
      <c r="AW239" s="9" t="n">
        <v>912483</v>
      </c>
      <c r="AX239" s="7" t="s">
        <v>159</v>
      </c>
      <c r="AY239" s="7" t="s">
        <v>160</v>
      </c>
      <c r="AZ239" s="7"/>
      <c r="BA239" s="7" t="s">
        <v>1581</v>
      </c>
      <c r="BB239" s="7" t="s">
        <v>1582</v>
      </c>
      <c r="BC239" s="11" t="s">
        <v>1583</v>
      </c>
      <c r="BD239" s="7" t="s">
        <v>164</v>
      </c>
      <c r="BE239" s="11" t="s">
        <v>1577</v>
      </c>
    </row>
    <row r="240" customFormat="false" ht="57.45" hidden="false" customHeight="false" outlineLevel="0" collapsed="false">
      <c r="A240" s="6" t="n">
        <v>239</v>
      </c>
      <c r="B240" s="7" t="s">
        <v>648</v>
      </c>
      <c r="C240" s="7" t="s">
        <v>1584</v>
      </c>
      <c r="D240" s="8" t="n">
        <v>0.64</v>
      </c>
      <c r="E240" s="7" t="s">
        <v>172</v>
      </c>
      <c r="F240" s="7" t="s">
        <v>86</v>
      </c>
      <c r="G240" s="6" t="n">
        <v>1</v>
      </c>
      <c r="H240" s="7" t="s">
        <v>789</v>
      </c>
      <c r="I240" s="7" t="s">
        <v>271</v>
      </c>
      <c r="J240" s="7" t="s">
        <v>1585</v>
      </c>
      <c r="K240" s="7" t="s">
        <v>88</v>
      </c>
      <c r="L240" s="9" t="n">
        <v>327406</v>
      </c>
      <c r="M240" s="9"/>
      <c r="N240" s="9"/>
      <c r="O240" s="7" t="s">
        <v>154</v>
      </c>
      <c r="P240" s="7" t="s">
        <v>89</v>
      </c>
      <c r="Q240" s="7" t="s">
        <v>155</v>
      </c>
      <c r="R240" s="7" t="s">
        <v>1586</v>
      </c>
      <c r="S240" s="7" t="s">
        <v>651</v>
      </c>
      <c r="T240" s="7"/>
      <c r="U240" s="10"/>
      <c r="V240" s="7"/>
      <c r="W240" s="7"/>
      <c r="X240" s="7"/>
      <c r="Y240" s="7"/>
      <c r="Z240" s="7"/>
      <c r="AA240" s="7"/>
      <c r="AB240" s="8"/>
      <c r="AC240" s="6"/>
      <c r="AD240" s="6"/>
      <c r="AE240" s="6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8"/>
      <c r="AR240" s="9" t="str">
        <f aca="false">IFERROR(VLOOKUP($X240,Lotes!$A:$E,5,FALSE())*$U240,"")</f>
        <v/>
      </c>
      <c r="AS240" s="9" t="n">
        <f aca="false">IF($L240="","",$L240*2.6)</f>
        <v>851255.6</v>
      </c>
      <c r="AT240" s="9"/>
      <c r="AU240" s="9" t="n">
        <v>982079</v>
      </c>
      <c r="AV240" s="9" t="n">
        <v>982079</v>
      </c>
      <c r="AW240" s="9" t="n">
        <v>982079</v>
      </c>
      <c r="AX240" s="7" t="s">
        <v>159</v>
      </c>
      <c r="AY240" s="7" t="s">
        <v>160</v>
      </c>
      <c r="AZ240" s="7"/>
      <c r="BA240" s="7" t="s">
        <v>1587</v>
      </c>
      <c r="BB240" s="7" t="s">
        <v>1588</v>
      </c>
      <c r="BC240" s="11" t="s">
        <v>1589</v>
      </c>
      <c r="BD240" s="7" t="s">
        <v>98</v>
      </c>
      <c r="BE240" s="11" t="s">
        <v>1590</v>
      </c>
    </row>
    <row r="241" customFormat="false" ht="68.65" hidden="false" customHeight="false" outlineLevel="0" collapsed="false">
      <c r="A241" s="6" t="n">
        <v>240</v>
      </c>
      <c r="B241" s="7" t="s">
        <v>648</v>
      </c>
      <c r="C241" s="7" t="s">
        <v>1591</v>
      </c>
      <c r="D241" s="8" t="n">
        <v>1.66</v>
      </c>
      <c r="E241" s="7" t="s">
        <v>172</v>
      </c>
      <c r="F241" s="7" t="s">
        <v>86</v>
      </c>
      <c r="G241" s="6" t="n">
        <v>1</v>
      </c>
      <c r="H241" s="7" t="s">
        <v>789</v>
      </c>
      <c r="I241" s="7"/>
      <c r="J241" s="7"/>
      <c r="K241" s="7" t="s">
        <v>88</v>
      </c>
      <c r="L241" s="9" t="n">
        <v>853318</v>
      </c>
      <c r="M241" s="9"/>
      <c r="N241" s="9"/>
      <c r="O241" s="7" t="s">
        <v>154</v>
      </c>
      <c r="P241" s="7" t="s">
        <v>89</v>
      </c>
      <c r="Q241" s="7" t="s">
        <v>155</v>
      </c>
      <c r="R241" s="7" t="s">
        <v>1592</v>
      </c>
      <c r="S241" s="7" t="s">
        <v>651</v>
      </c>
      <c r="T241" s="7"/>
      <c r="U241" s="10"/>
      <c r="V241" s="7"/>
      <c r="W241" s="7"/>
      <c r="X241" s="7" t="s">
        <v>674</v>
      </c>
      <c r="Y241" s="7"/>
      <c r="Z241" s="7"/>
      <c r="AA241" s="7"/>
      <c r="AB241" s="8"/>
      <c r="AC241" s="6"/>
      <c r="AD241" s="6"/>
      <c r="AE241" s="6"/>
      <c r="AF241" s="7" t="s">
        <v>583</v>
      </c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8"/>
      <c r="AR241" s="9" t="n">
        <f aca="false">IFERROR(VLOOKUP($X241,Lotes!$A:$E,5,FALSE())*$U241,"")</f>
        <v>0</v>
      </c>
      <c r="AS241" s="9" t="n">
        <f aca="false">IF($L241="","",$L241*2.6)</f>
        <v>2218626.8</v>
      </c>
      <c r="AT241" s="9"/>
      <c r="AU241" s="9" t="n">
        <v>2559659</v>
      </c>
      <c r="AV241" s="9" t="n">
        <v>2559659</v>
      </c>
      <c r="AW241" s="9" t="n">
        <v>2559659</v>
      </c>
      <c r="AX241" s="7" t="s">
        <v>159</v>
      </c>
      <c r="AY241" s="7" t="s">
        <v>160</v>
      </c>
      <c r="AZ241" s="7"/>
      <c r="BA241" s="7" t="s">
        <v>1593</v>
      </c>
      <c r="BB241" s="7" t="s">
        <v>1594</v>
      </c>
      <c r="BC241" s="11" t="s">
        <v>1595</v>
      </c>
      <c r="BD241" s="7" t="s">
        <v>164</v>
      </c>
      <c r="BE241" s="11" t="s">
        <v>1555</v>
      </c>
    </row>
    <row r="242" customFormat="false" ht="68.65" hidden="false" customHeight="false" outlineLevel="0" collapsed="false">
      <c r="A242" s="6" t="n">
        <v>241</v>
      </c>
      <c r="B242" s="7" t="s">
        <v>648</v>
      </c>
      <c r="C242" s="7" t="s">
        <v>1596</v>
      </c>
      <c r="D242" s="8" t="n">
        <v>0.9</v>
      </c>
      <c r="E242" s="7" t="s">
        <v>172</v>
      </c>
      <c r="F242" s="7" t="s">
        <v>86</v>
      </c>
      <c r="G242" s="6" t="n">
        <v>1</v>
      </c>
      <c r="H242" s="7" t="s">
        <v>789</v>
      </c>
      <c r="I242" s="7"/>
      <c r="J242" s="7"/>
      <c r="K242" s="7" t="s">
        <v>88</v>
      </c>
      <c r="L242" s="9" t="n">
        <v>455576</v>
      </c>
      <c r="M242" s="9"/>
      <c r="N242" s="9"/>
      <c r="O242" s="7" t="s">
        <v>154</v>
      </c>
      <c r="P242" s="7" t="s">
        <v>89</v>
      </c>
      <c r="Q242" s="7" t="s">
        <v>155</v>
      </c>
      <c r="R242" s="7" t="s">
        <v>1597</v>
      </c>
      <c r="S242" s="7" t="s">
        <v>651</v>
      </c>
      <c r="T242" s="7"/>
      <c r="U242" s="10"/>
      <c r="V242" s="7"/>
      <c r="W242" s="7"/>
      <c r="X242" s="7" t="s">
        <v>611</v>
      </c>
      <c r="Y242" s="7"/>
      <c r="Z242" s="7"/>
      <c r="AA242" s="7"/>
      <c r="AB242" s="8"/>
      <c r="AC242" s="6"/>
      <c r="AD242" s="6"/>
      <c r="AE242" s="6"/>
      <c r="AF242" s="7" t="s">
        <v>583</v>
      </c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8" t="n">
        <v>2.21</v>
      </c>
      <c r="AR242" s="9" t="n">
        <f aca="false">IFERROR(VLOOKUP($X242,Lotes!$A:$E,5,FALSE())*$U242,"")</f>
        <v>0</v>
      </c>
      <c r="AS242" s="9" t="n">
        <f aca="false">IF($L242="","",$L242*2.6)</f>
        <v>1184497.6</v>
      </c>
      <c r="AT242" s="9"/>
      <c r="AU242" s="9" t="n">
        <v>1407426</v>
      </c>
      <c r="AV242" s="9" t="n">
        <v>1407426</v>
      </c>
      <c r="AW242" s="9" t="n">
        <v>1407426</v>
      </c>
      <c r="AX242" s="7" t="s">
        <v>159</v>
      </c>
      <c r="AY242" s="7" t="s">
        <v>160</v>
      </c>
      <c r="AZ242" s="7"/>
      <c r="BA242" s="7" t="s">
        <v>1598</v>
      </c>
      <c r="BB242" s="7" t="s">
        <v>1599</v>
      </c>
      <c r="BC242" s="11" t="s">
        <v>1600</v>
      </c>
      <c r="BD242" s="7" t="s">
        <v>164</v>
      </c>
      <c r="BE242" s="11" t="s">
        <v>736</v>
      </c>
    </row>
    <row r="243" customFormat="false" ht="68.65" hidden="false" customHeight="false" outlineLevel="0" collapsed="false">
      <c r="A243" s="6" t="n">
        <v>242</v>
      </c>
      <c r="B243" s="7" t="s">
        <v>648</v>
      </c>
      <c r="C243" s="7" t="s">
        <v>1601</v>
      </c>
      <c r="D243" s="8" t="n">
        <v>0.93</v>
      </c>
      <c r="E243" s="7" t="s">
        <v>172</v>
      </c>
      <c r="F243" s="7" t="s">
        <v>86</v>
      </c>
      <c r="G243" s="6" t="n">
        <v>1</v>
      </c>
      <c r="H243" s="7" t="s">
        <v>789</v>
      </c>
      <c r="I243" s="7"/>
      <c r="J243" s="7"/>
      <c r="K243" s="7" t="s">
        <v>88</v>
      </c>
      <c r="L243" s="9" t="n">
        <v>476930</v>
      </c>
      <c r="M243" s="9"/>
      <c r="N243" s="9"/>
      <c r="O243" s="7" t="s">
        <v>154</v>
      </c>
      <c r="P243" s="7" t="s">
        <v>89</v>
      </c>
      <c r="Q243" s="7" t="s">
        <v>155</v>
      </c>
      <c r="R243" s="7" t="s">
        <v>1602</v>
      </c>
      <c r="S243" s="7" t="s">
        <v>651</v>
      </c>
      <c r="T243" s="7"/>
      <c r="U243" s="10"/>
      <c r="V243" s="7"/>
      <c r="W243" s="7"/>
      <c r="X243" s="7" t="s">
        <v>674</v>
      </c>
      <c r="Y243" s="7"/>
      <c r="Z243" s="7"/>
      <c r="AA243" s="7"/>
      <c r="AB243" s="8"/>
      <c r="AC243" s="6"/>
      <c r="AD243" s="6"/>
      <c r="AE243" s="6"/>
      <c r="AF243" s="7" t="s">
        <v>583</v>
      </c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8"/>
      <c r="AR243" s="9" t="n">
        <f aca="false">IFERROR(VLOOKUP($X243,Lotes!$A:$E,5,FALSE())*$U243,"")</f>
        <v>0</v>
      </c>
      <c r="AS243" s="9" t="n">
        <f aca="false">IF($L243="","",$L243*2.6)</f>
        <v>1240018</v>
      </c>
      <c r="AT243" s="9"/>
      <c r="AU243" s="9" t="n">
        <v>1430625</v>
      </c>
      <c r="AV243" s="9" t="n">
        <v>1430625</v>
      </c>
      <c r="AW243" s="9" t="n">
        <v>1430625</v>
      </c>
      <c r="AX243" s="7" t="s">
        <v>159</v>
      </c>
      <c r="AY243" s="7" t="s">
        <v>160</v>
      </c>
      <c r="AZ243" s="7"/>
      <c r="BA243" s="7" t="s">
        <v>1603</v>
      </c>
      <c r="BB243" s="7" t="s">
        <v>1604</v>
      </c>
      <c r="BC243" s="11" t="s">
        <v>1605</v>
      </c>
      <c r="BD243" s="7" t="s">
        <v>164</v>
      </c>
      <c r="BE243" s="11" t="s">
        <v>1555</v>
      </c>
    </row>
    <row r="244" customFormat="false" ht="68.65" hidden="false" customHeight="false" outlineLevel="0" collapsed="false">
      <c r="A244" s="6" t="n">
        <v>243</v>
      </c>
      <c r="B244" s="7" t="s">
        <v>648</v>
      </c>
      <c r="C244" s="7" t="s">
        <v>1606</v>
      </c>
      <c r="D244" s="8" t="n">
        <v>0.49</v>
      </c>
      <c r="E244" s="7" t="s">
        <v>172</v>
      </c>
      <c r="F244" s="7" t="s">
        <v>86</v>
      </c>
      <c r="G244" s="6" t="n">
        <v>1</v>
      </c>
      <c r="H244" s="7" t="s">
        <v>789</v>
      </c>
      <c r="I244" s="7"/>
      <c r="J244" s="7"/>
      <c r="K244" s="7" t="s">
        <v>88</v>
      </c>
      <c r="L244" s="9" t="n">
        <v>250066</v>
      </c>
      <c r="M244" s="9"/>
      <c r="N244" s="9"/>
      <c r="O244" s="7" t="s">
        <v>154</v>
      </c>
      <c r="P244" s="7" t="s">
        <v>89</v>
      </c>
      <c r="Q244" s="7" t="s">
        <v>155</v>
      </c>
      <c r="R244" s="7" t="s">
        <v>1607</v>
      </c>
      <c r="S244" s="7" t="s">
        <v>651</v>
      </c>
      <c r="T244" s="7"/>
      <c r="U244" s="10"/>
      <c r="V244" s="7"/>
      <c r="W244" s="7"/>
      <c r="X244" s="7" t="s">
        <v>674</v>
      </c>
      <c r="Y244" s="7"/>
      <c r="Z244" s="7"/>
      <c r="AA244" s="7"/>
      <c r="AB244" s="8"/>
      <c r="AC244" s="6"/>
      <c r="AD244" s="6"/>
      <c r="AE244" s="6"/>
      <c r="AF244" s="7" t="s">
        <v>583</v>
      </c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8"/>
      <c r="AR244" s="9" t="n">
        <f aca="false">IFERROR(VLOOKUP($X244,Lotes!$A:$E,5,FALSE())*$U244,"")</f>
        <v>0</v>
      </c>
      <c r="AS244" s="9" t="n">
        <f aca="false">IF($L244="","",$L244*2.6)</f>
        <v>650171.6</v>
      </c>
      <c r="AT244" s="9"/>
      <c r="AU244" s="9" t="n">
        <v>750111</v>
      </c>
      <c r="AV244" s="9" t="n">
        <v>750111</v>
      </c>
      <c r="AW244" s="9" t="n">
        <v>750111</v>
      </c>
      <c r="AX244" s="7" t="s">
        <v>159</v>
      </c>
      <c r="AY244" s="7" t="s">
        <v>160</v>
      </c>
      <c r="AZ244" s="7"/>
      <c r="BA244" s="7" t="s">
        <v>1608</v>
      </c>
      <c r="BB244" s="7" t="s">
        <v>1609</v>
      </c>
      <c r="BC244" s="11" t="s">
        <v>1610</v>
      </c>
      <c r="BD244" s="7" t="s">
        <v>164</v>
      </c>
      <c r="BE244" s="11" t="s">
        <v>678</v>
      </c>
    </row>
    <row r="245" customFormat="false" ht="68.65" hidden="false" customHeight="false" outlineLevel="0" collapsed="false">
      <c r="A245" s="6" t="n">
        <v>244</v>
      </c>
      <c r="B245" s="7" t="s">
        <v>648</v>
      </c>
      <c r="C245" s="7" t="s">
        <v>1611</v>
      </c>
      <c r="D245" s="8" t="n">
        <v>0.44</v>
      </c>
      <c r="E245" s="7" t="s">
        <v>172</v>
      </c>
      <c r="F245" s="7" t="s">
        <v>86</v>
      </c>
      <c r="G245" s="6" t="n">
        <v>1</v>
      </c>
      <c r="H245" s="7" t="s">
        <v>789</v>
      </c>
      <c r="I245" s="7"/>
      <c r="J245" s="7"/>
      <c r="K245" s="7" t="s">
        <v>88</v>
      </c>
      <c r="L245" s="9" t="n">
        <v>226864</v>
      </c>
      <c r="M245" s="9"/>
      <c r="N245" s="9"/>
      <c r="O245" s="7" t="s">
        <v>154</v>
      </c>
      <c r="P245" s="7" t="s">
        <v>89</v>
      </c>
      <c r="Q245" s="7" t="s">
        <v>155</v>
      </c>
      <c r="R245" s="7" t="s">
        <v>1612</v>
      </c>
      <c r="S245" s="7" t="s">
        <v>651</v>
      </c>
      <c r="T245" s="7"/>
      <c r="U245" s="10"/>
      <c r="V245" s="7"/>
      <c r="W245" s="7"/>
      <c r="X245" s="7" t="s">
        <v>674</v>
      </c>
      <c r="Y245" s="7"/>
      <c r="Z245" s="7"/>
      <c r="AA245" s="7"/>
      <c r="AB245" s="8"/>
      <c r="AC245" s="6"/>
      <c r="AD245" s="6"/>
      <c r="AE245" s="6"/>
      <c r="AF245" s="7" t="s">
        <v>583</v>
      </c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8"/>
      <c r="AR245" s="9" t="n">
        <f aca="false">IFERROR(VLOOKUP($X245,Lotes!$A:$E,5,FALSE())*$U245,"")</f>
        <v>0</v>
      </c>
      <c r="AS245" s="9" t="n">
        <f aca="false">IF($L245="","",$L245*2.6)</f>
        <v>589846.4</v>
      </c>
      <c r="AT245" s="9"/>
      <c r="AU245" s="9" t="n">
        <v>680514</v>
      </c>
      <c r="AV245" s="9" t="n">
        <v>680514</v>
      </c>
      <c r="AW245" s="9" t="n">
        <v>680514</v>
      </c>
      <c r="AX245" s="7" t="s">
        <v>159</v>
      </c>
      <c r="AY245" s="7" t="s">
        <v>160</v>
      </c>
      <c r="AZ245" s="7"/>
      <c r="BA245" s="7" t="s">
        <v>1613</v>
      </c>
      <c r="BB245" s="7" t="s">
        <v>1614</v>
      </c>
      <c r="BC245" s="11" t="s">
        <v>1615</v>
      </c>
      <c r="BD245" s="7" t="s">
        <v>164</v>
      </c>
      <c r="BE245" s="11" t="s">
        <v>1555</v>
      </c>
    </row>
    <row r="246" customFormat="false" ht="68.65" hidden="false" customHeight="false" outlineLevel="0" collapsed="false">
      <c r="A246" s="6" t="n">
        <v>245</v>
      </c>
      <c r="B246" s="7" t="s">
        <v>648</v>
      </c>
      <c r="C246" s="7" t="s">
        <v>1616</v>
      </c>
      <c r="D246" s="8" t="n">
        <v>0.82</v>
      </c>
      <c r="E246" s="7" t="s">
        <v>172</v>
      </c>
      <c r="F246" s="7" t="s">
        <v>86</v>
      </c>
      <c r="G246" s="6" t="n">
        <v>1</v>
      </c>
      <c r="H246" s="7" t="s">
        <v>789</v>
      </c>
      <c r="I246" s="7"/>
      <c r="J246" s="7"/>
      <c r="K246" s="7" t="s">
        <v>88</v>
      </c>
      <c r="L246" s="9" t="n">
        <v>420214</v>
      </c>
      <c r="M246" s="9"/>
      <c r="N246" s="9"/>
      <c r="O246" s="7" t="s">
        <v>154</v>
      </c>
      <c r="P246" s="7" t="s">
        <v>89</v>
      </c>
      <c r="Q246" s="7" t="s">
        <v>155</v>
      </c>
      <c r="R246" s="7" t="s">
        <v>1617</v>
      </c>
      <c r="S246" s="7" t="s">
        <v>651</v>
      </c>
      <c r="T246" s="7"/>
      <c r="U246" s="10"/>
      <c r="V246" s="7"/>
      <c r="W246" s="7"/>
      <c r="X246" s="7" t="s">
        <v>674</v>
      </c>
      <c r="Y246" s="7"/>
      <c r="Z246" s="7"/>
      <c r="AA246" s="7"/>
      <c r="AB246" s="8"/>
      <c r="AC246" s="6"/>
      <c r="AD246" s="6"/>
      <c r="AE246" s="6"/>
      <c r="AF246" s="7" t="s">
        <v>583</v>
      </c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8"/>
      <c r="AR246" s="9" t="n">
        <f aca="false">IFERROR(VLOOKUP($X246,Lotes!$A:$E,5,FALSE())*$U246,"")</f>
        <v>0</v>
      </c>
      <c r="AS246" s="9" t="n">
        <f aca="false">IF($L246="","",$L246*2.6)</f>
        <v>1092556.4</v>
      </c>
      <c r="AT246" s="9"/>
      <c r="AU246" s="9" t="n">
        <v>1260450</v>
      </c>
      <c r="AV246" s="9" t="n">
        <v>1260450</v>
      </c>
      <c r="AW246" s="9" t="n">
        <v>1260450</v>
      </c>
      <c r="AX246" s="7" t="s">
        <v>159</v>
      </c>
      <c r="AY246" s="7" t="s">
        <v>160</v>
      </c>
      <c r="AZ246" s="7"/>
      <c r="BA246" s="7" t="s">
        <v>1618</v>
      </c>
      <c r="BB246" s="7" t="s">
        <v>1619</v>
      </c>
      <c r="BC246" s="11" t="s">
        <v>1620</v>
      </c>
      <c r="BD246" s="7" t="s">
        <v>164</v>
      </c>
      <c r="BE246" s="11" t="s">
        <v>1555</v>
      </c>
    </row>
    <row r="247" customFormat="false" ht="68.65" hidden="false" customHeight="false" outlineLevel="0" collapsed="false">
      <c r="A247" s="6" t="n">
        <v>246</v>
      </c>
      <c r="B247" s="7" t="s">
        <v>648</v>
      </c>
      <c r="C247" s="7" t="s">
        <v>1621</v>
      </c>
      <c r="D247" s="8" t="n">
        <v>0.55</v>
      </c>
      <c r="E247" s="7" t="s">
        <v>172</v>
      </c>
      <c r="F247" s="7" t="s">
        <v>270</v>
      </c>
      <c r="G247" s="6" t="n">
        <v>1</v>
      </c>
      <c r="H247" s="7" t="s">
        <v>87</v>
      </c>
      <c r="I247" s="7"/>
      <c r="J247" s="7"/>
      <c r="K247" s="7" t="s">
        <v>88</v>
      </c>
      <c r="L247" s="9" t="n">
        <v>323909</v>
      </c>
      <c r="M247" s="9"/>
      <c r="N247" s="9"/>
      <c r="O247" s="7" t="s">
        <v>41</v>
      </c>
      <c r="P247" s="7" t="s">
        <v>89</v>
      </c>
      <c r="Q247" s="7" t="s">
        <v>155</v>
      </c>
      <c r="R247" s="7" t="s">
        <v>1622</v>
      </c>
      <c r="S247" s="7" t="s">
        <v>651</v>
      </c>
      <c r="T247" s="7"/>
      <c r="U247" s="10"/>
      <c r="V247" s="7"/>
      <c r="W247" s="7"/>
      <c r="X247" s="7" t="s">
        <v>611</v>
      </c>
      <c r="Y247" s="7"/>
      <c r="Z247" s="7"/>
      <c r="AA247" s="7"/>
      <c r="AB247" s="8"/>
      <c r="AC247" s="6"/>
      <c r="AD247" s="6"/>
      <c r="AE247" s="6"/>
      <c r="AF247" s="7" t="s">
        <v>583</v>
      </c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8" t="n">
        <v>1.2</v>
      </c>
      <c r="AR247" s="9" t="n">
        <f aca="false">IFERROR(VLOOKUP($X247,Lotes!$A:$E,5,FALSE())*$U247,"")</f>
        <v>0</v>
      </c>
      <c r="AS247" s="9" t="n">
        <f aca="false">IF($L247="","",$L247*2.6)</f>
        <v>842163.4</v>
      </c>
      <c r="AT247" s="9"/>
      <c r="AU247" s="9" t="n">
        <v>850611</v>
      </c>
      <c r="AV247" s="9" t="n">
        <v>850611</v>
      </c>
      <c r="AW247" s="9" t="n">
        <v>850611</v>
      </c>
      <c r="AX247" s="7" t="s">
        <v>159</v>
      </c>
      <c r="AY247" s="7" t="s">
        <v>160</v>
      </c>
      <c r="AZ247" s="7"/>
      <c r="BA247" s="7" t="s">
        <v>1623</v>
      </c>
      <c r="BB247" s="7" t="s">
        <v>1624</v>
      </c>
      <c r="BC247" s="11" t="s">
        <v>1625</v>
      </c>
      <c r="BD247" s="7" t="s">
        <v>164</v>
      </c>
      <c r="BE247" s="11" t="s">
        <v>1626</v>
      </c>
    </row>
    <row r="248" customFormat="false" ht="15" hidden="false" customHeight="false" outlineLevel="0" collapsed="false">
      <c r="A248" s="6" t="n">
        <v>247</v>
      </c>
      <c r="B248" s="7" t="s">
        <v>648</v>
      </c>
      <c r="C248" s="7" t="s">
        <v>1627</v>
      </c>
      <c r="D248" s="8" t="n">
        <v>0.56</v>
      </c>
      <c r="E248" s="7" t="s">
        <v>172</v>
      </c>
      <c r="F248" s="7" t="s">
        <v>270</v>
      </c>
      <c r="G248" s="6" t="n">
        <v>1</v>
      </c>
      <c r="H248" s="7" t="s">
        <v>87</v>
      </c>
      <c r="I248" s="7"/>
      <c r="J248" s="7"/>
      <c r="K248" s="7" t="s">
        <v>88</v>
      </c>
      <c r="L248" s="9" t="n">
        <v>286158</v>
      </c>
      <c r="M248" s="9"/>
      <c r="N248" s="9"/>
      <c r="O248" s="7" t="s">
        <v>154</v>
      </c>
      <c r="P248" s="7" t="s">
        <v>109</v>
      </c>
      <c r="Q248" s="7" t="s">
        <v>90</v>
      </c>
      <c r="R248" s="7" t="s">
        <v>1628</v>
      </c>
      <c r="S248" s="7" t="s">
        <v>651</v>
      </c>
      <c r="T248" s="7"/>
      <c r="U248" s="10"/>
      <c r="V248" s="7"/>
      <c r="W248" s="7"/>
      <c r="X248" s="7"/>
      <c r="Y248" s="7"/>
      <c r="Z248" s="7"/>
      <c r="AA248" s="7"/>
      <c r="AB248" s="8"/>
      <c r="AC248" s="6"/>
      <c r="AD248" s="6"/>
      <c r="AE248" s="6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8"/>
      <c r="AR248" s="9" t="str">
        <f aca="false">IFERROR(VLOOKUP($X248,Lotes!$A:$E,5,FALSE())*$U248,"")</f>
        <v/>
      </c>
      <c r="AS248" s="9" t="n">
        <f aca="false">IF($L248="","",$L248*2.6)</f>
        <v>744010.8</v>
      </c>
      <c r="AT248" s="9"/>
      <c r="AU248" s="9" t="n">
        <v>858344</v>
      </c>
      <c r="AV248" s="9" t="n">
        <v>858344</v>
      </c>
      <c r="AW248" s="9" t="n">
        <v>0</v>
      </c>
      <c r="AX248" s="7" t="s">
        <v>109</v>
      </c>
      <c r="AY248" s="7" t="s">
        <v>1629</v>
      </c>
      <c r="AZ248" s="7"/>
      <c r="BA248" s="7" t="s">
        <v>1630</v>
      </c>
      <c r="BB248" s="7" t="s">
        <v>1631</v>
      </c>
      <c r="BC248" s="11" t="s">
        <v>1632</v>
      </c>
      <c r="BD248" s="7" t="s">
        <v>98</v>
      </c>
      <c r="BE248" s="11"/>
    </row>
    <row r="249" customFormat="false" ht="68.65" hidden="false" customHeight="false" outlineLevel="0" collapsed="false">
      <c r="A249" s="6" t="n">
        <v>248</v>
      </c>
      <c r="B249" s="7" t="s">
        <v>648</v>
      </c>
      <c r="C249" s="7" t="s">
        <v>1633</v>
      </c>
      <c r="D249" s="8" t="n">
        <v>0.7</v>
      </c>
      <c r="E249" s="7" t="s">
        <v>172</v>
      </c>
      <c r="F249" s="7" t="s">
        <v>270</v>
      </c>
      <c r="G249" s="6" t="n">
        <v>1</v>
      </c>
      <c r="H249" s="7" t="s">
        <v>87</v>
      </c>
      <c r="I249" s="7"/>
      <c r="J249" s="7"/>
      <c r="K249" s="7" t="s">
        <v>88</v>
      </c>
      <c r="L249" s="9" t="n">
        <v>358342</v>
      </c>
      <c r="M249" s="9"/>
      <c r="N249" s="9"/>
      <c r="O249" s="7" t="s">
        <v>154</v>
      </c>
      <c r="P249" s="7" t="s">
        <v>89</v>
      </c>
      <c r="Q249" s="7" t="s">
        <v>155</v>
      </c>
      <c r="R249" s="7" t="s">
        <v>1634</v>
      </c>
      <c r="S249" s="7" t="s">
        <v>651</v>
      </c>
      <c r="T249" s="7"/>
      <c r="U249" s="10"/>
      <c r="V249" s="7"/>
      <c r="W249" s="7"/>
      <c r="X249" s="7" t="s">
        <v>674</v>
      </c>
      <c r="Y249" s="7"/>
      <c r="Z249" s="7"/>
      <c r="AA249" s="7"/>
      <c r="AB249" s="8"/>
      <c r="AC249" s="6"/>
      <c r="AD249" s="6"/>
      <c r="AE249" s="6"/>
      <c r="AF249" s="7" t="s">
        <v>583</v>
      </c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8"/>
      <c r="AR249" s="9" t="n">
        <f aca="false">IFERROR(VLOOKUP($X249,Lotes!$A:$E,5,FALSE())*$U249,"")</f>
        <v>0</v>
      </c>
      <c r="AS249" s="9" t="n">
        <f aca="false">IF($L249="","",$L249*2.6)</f>
        <v>931689.2</v>
      </c>
      <c r="AT249" s="9"/>
      <c r="AU249" s="9" t="n">
        <v>1074863</v>
      </c>
      <c r="AV249" s="9" t="n">
        <v>1074863</v>
      </c>
      <c r="AW249" s="9" t="n">
        <v>1074863</v>
      </c>
      <c r="AX249" s="7" t="s">
        <v>159</v>
      </c>
      <c r="AY249" s="7" t="s">
        <v>160</v>
      </c>
      <c r="AZ249" s="7"/>
      <c r="BA249" s="7" t="s">
        <v>1635</v>
      </c>
      <c r="BB249" s="7" t="s">
        <v>1636</v>
      </c>
      <c r="BC249" s="11" t="s">
        <v>1637</v>
      </c>
      <c r="BD249" s="7" t="s">
        <v>164</v>
      </c>
      <c r="BE249" s="11" t="s">
        <v>755</v>
      </c>
    </row>
    <row r="250" customFormat="false" ht="15" hidden="false" customHeight="false" outlineLevel="0" collapsed="false">
      <c r="A250" s="6" t="n">
        <v>249</v>
      </c>
      <c r="B250" s="7" t="s">
        <v>648</v>
      </c>
      <c r="C250" s="7" t="s">
        <v>1638</v>
      </c>
      <c r="D250" s="8" t="n">
        <v>0.95</v>
      </c>
      <c r="E250" s="7" t="s">
        <v>172</v>
      </c>
      <c r="F250" s="7" t="s">
        <v>86</v>
      </c>
      <c r="G250" s="6" t="n">
        <v>1</v>
      </c>
      <c r="H250" s="7" t="s">
        <v>789</v>
      </c>
      <c r="I250" s="7"/>
      <c r="J250" s="7"/>
      <c r="K250" s="7" t="s">
        <v>88</v>
      </c>
      <c r="L250" s="9" t="n">
        <v>487238</v>
      </c>
      <c r="M250" s="9"/>
      <c r="N250" s="9"/>
      <c r="O250" s="7" t="s">
        <v>41</v>
      </c>
      <c r="P250" s="7" t="s">
        <v>102</v>
      </c>
      <c r="Q250" s="7" t="s">
        <v>90</v>
      </c>
      <c r="R250" s="7" t="s">
        <v>1639</v>
      </c>
      <c r="S250" s="7" t="s">
        <v>651</v>
      </c>
      <c r="T250" s="7"/>
      <c r="U250" s="10"/>
      <c r="V250" s="7"/>
      <c r="W250" s="7"/>
      <c r="X250" s="7"/>
      <c r="Y250" s="7"/>
      <c r="Z250" s="7"/>
      <c r="AA250" s="7"/>
      <c r="AB250" s="8"/>
      <c r="AC250" s="6"/>
      <c r="AD250" s="6"/>
      <c r="AE250" s="6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8"/>
      <c r="AR250" s="9" t="str">
        <f aca="false">IFERROR(VLOOKUP($X250,Lotes!$A:$E,5,FALSE())*$U250,"")</f>
        <v/>
      </c>
      <c r="AS250" s="9" t="n">
        <f aca="false">IF($L250="","",$L250*2.6)</f>
        <v>1266818.8</v>
      </c>
      <c r="AT250" s="9"/>
      <c r="AU250" s="9" t="n">
        <v>1461628</v>
      </c>
      <c r="AV250" s="9" t="n">
        <v>1461628</v>
      </c>
      <c r="AW250" s="9" t="n">
        <v>0</v>
      </c>
      <c r="AX250" s="7" t="s">
        <v>102</v>
      </c>
      <c r="AY250" s="7" t="s">
        <v>94</v>
      </c>
      <c r="AZ250" s="7"/>
      <c r="BA250" s="7" t="s">
        <v>1640</v>
      </c>
      <c r="BB250" s="7" t="s">
        <v>1641</v>
      </c>
      <c r="BC250" s="11" t="s">
        <v>1642</v>
      </c>
      <c r="BD250" s="7" t="s">
        <v>98</v>
      </c>
      <c r="BE250" s="11"/>
    </row>
    <row r="251" customFormat="false" ht="68.65" hidden="false" customHeight="false" outlineLevel="0" collapsed="false">
      <c r="A251" s="6" t="n">
        <v>250</v>
      </c>
      <c r="B251" s="7" t="s">
        <v>648</v>
      </c>
      <c r="C251" s="7" t="s">
        <v>1643</v>
      </c>
      <c r="D251" s="8" t="n">
        <v>0.8</v>
      </c>
      <c r="E251" s="7" t="s">
        <v>172</v>
      </c>
      <c r="F251" s="7" t="s">
        <v>86</v>
      </c>
      <c r="G251" s="6" t="n">
        <v>1</v>
      </c>
      <c r="H251" s="7" t="s">
        <v>789</v>
      </c>
      <c r="I251" s="7"/>
      <c r="J251" s="7"/>
      <c r="K251" s="7" t="s">
        <v>88</v>
      </c>
      <c r="L251" s="9" t="n">
        <v>455576</v>
      </c>
      <c r="M251" s="9"/>
      <c r="N251" s="9"/>
      <c r="O251" s="7" t="s">
        <v>154</v>
      </c>
      <c r="P251" s="7" t="s">
        <v>89</v>
      </c>
      <c r="Q251" s="7" t="s">
        <v>155</v>
      </c>
      <c r="R251" s="7" t="s">
        <v>1644</v>
      </c>
      <c r="S251" s="7" t="s">
        <v>651</v>
      </c>
      <c r="T251" s="7"/>
      <c r="U251" s="10"/>
      <c r="V251" s="7"/>
      <c r="W251" s="7"/>
      <c r="X251" s="7" t="s">
        <v>611</v>
      </c>
      <c r="Y251" s="7"/>
      <c r="Z251" s="7"/>
      <c r="AA251" s="7"/>
      <c r="AB251" s="8"/>
      <c r="AC251" s="6"/>
      <c r="AD251" s="6"/>
      <c r="AE251" s="6"/>
      <c r="AF251" s="7" t="s">
        <v>583</v>
      </c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8" t="n">
        <v>1.69</v>
      </c>
      <c r="AR251" s="9" t="n">
        <f aca="false">IFERROR(VLOOKUP($X251,Lotes!$A:$E,5,FALSE())*$U251,"")</f>
        <v>0</v>
      </c>
      <c r="AS251" s="9" t="n">
        <f aca="false">IF($L251="","",$L251*2.6)</f>
        <v>1184497.6</v>
      </c>
      <c r="AT251" s="9"/>
      <c r="AU251" s="9" t="n">
        <v>1245090</v>
      </c>
      <c r="AV251" s="9" t="n">
        <v>1245090</v>
      </c>
      <c r="AW251" s="9" t="n">
        <v>1245090</v>
      </c>
      <c r="AX251" s="7" t="s">
        <v>159</v>
      </c>
      <c r="AY251" s="7" t="s">
        <v>160</v>
      </c>
      <c r="AZ251" s="7"/>
      <c r="BA251" s="7" t="s">
        <v>1645</v>
      </c>
      <c r="BB251" s="7" t="s">
        <v>1646</v>
      </c>
      <c r="BC251" s="11" t="s">
        <v>1647</v>
      </c>
      <c r="BD251" s="7" t="s">
        <v>164</v>
      </c>
      <c r="BE251" s="11" t="s">
        <v>1648</v>
      </c>
    </row>
    <row r="252" customFormat="false" ht="68.65" hidden="false" customHeight="false" outlineLevel="0" collapsed="false">
      <c r="A252" s="6" t="n">
        <v>251</v>
      </c>
      <c r="B252" s="7" t="s">
        <v>648</v>
      </c>
      <c r="C252" s="7" t="s">
        <v>1649</v>
      </c>
      <c r="D252" s="8" t="n">
        <v>0.55</v>
      </c>
      <c r="E252" s="7" t="s">
        <v>172</v>
      </c>
      <c r="F252" s="7" t="s">
        <v>86</v>
      </c>
      <c r="G252" s="6" t="n">
        <v>1</v>
      </c>
      <c r="H252" s="7" t="s">
        <v>681</v>
      </c>
      <c r="I252" s="7"/>
      <c r="J252" s="7"/>
      <c r="K252" s="7" t="s">
        <v>88</v>
      </c>
      <c r="L252" s="9" t="n">
        <v>283578</v>
      </c>
      <c r="M252" s="9"/>
      <c r="N252" s="9"/>
      <c r="O252" s="7" t="s">
        <v>154</v>
      </c>
      <c r="P252" s="7" t="s">
        <v>89</v>
      </c>
      <c r="Q252" s="7" t="s">
        <v>155</v>
      </c>
      <c r="R252" s="7" t="s">
        <v>1650</v>
      </c>
      <c r="S252" s="7" t="s">
        <v>651</v>
      </c>
      <c r="T252" s="7"/>
      <c r="U252" s="10"/>
      <c r="V252" s="7"/>
      <c r="W252" s="7"/>
      <c r="X252" s="7" t="s">
        <v>674</v>
      </c>
      <c r="Y252" s="7"/>
      <c r="Z252" s="7"/>
      <c r="AA252" s="7"/>
      <c r="AB252" s="8"/>
      <c r="AC252" s="6"/>
      <c r="AD252" s="6"/>
      <c r="AE252" s="6"/>
      <c r="AF252" s="7" t="s">
        <v>583</v>
      </c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8"/>
      <c r="AR252" s="9" t="n">
        <f aca="false">IFERROR(VLOOKUP($X252,Lotes!$A:$E,5,FALSE())*$U252,"")</f>
        <v>0</v>
      </c>
      <c r="AS252" s="9" t="n">
        <f aca="false">IF($L252="","",$L252*2.6)</f>
        <v>737302.8</v>
      </c>
      <c r="AT252" s="9"/>
      <c r="AU252" s="9" t="n">
        <v>850683</v>
      </c>
      <c r="AV252" s="9" t="n">
        <v>850683</v>
      </c>
      <c r="AW252" s="9" t="n">
        <v>850683</v>
      </c>
      <c r="AX252" s="7" t="s">
        <v>159</v>
      </c>
      <c r="AY252" s="7" t="s">
        <v>160</v>
      </c>
      <c r="AZ252" s="7"/>
      <c r="BA252" s="7" t="s">
        <v>1651</v>
      </c>
      <c r="BB252" s="7" t="s">
        <v>1652</v>
      </c>
      <c r="BC252" s="11" t="s">
        <v>1653</v>
      </c>
      <c r="BD252" s="7" t="s">
        <v>164</v>
      </c>
      <c r="BE252" s="11" t="s">
        <v>1555</v>
      </c>
    </row>
    <row r="253" customFormat="false" ht="15" hidden="false" customHeight="false" outlineLevel="0" collapsed="false">
      <c r="A253" s="6" t="n">
        <v>252</v>
      </c>
      <c r="B253" s="7" t="s">
        <v>648</v>
      </c>
      <c r="C253" s="7" t="s">
        <v>1654</v>
      </c>
      <c r="D253" s="8" t="n">
        <v>0.36</v>
      </c>
      <c r="E253" s="7" t="s">
        <v>172</v>
      </c>
      <c r="F253" s="7" t="s">
        <v>148</v>
      </c>
      <c r="G253" s="6" t="n">
        <v>1</v>
      </c>
      <c r="H253" s="7" t="s">
        <v>200</v>
      </c>
      <c r="I253" s="7"/>
      <c r="J253" s="7"/>
      <c r="K253" s="7" t="s">
        <v>88</v>
      </c>
      <c r="L253" s="9" t="n">
        <v>50236</v>
      </c>
      <c r="M253" s="9"/>
      <c r="N253" s="9"/>
      <c r="O253" s="7" t="s">
        <v>41</v>
      </c>
      <c r="P253" s="7" t="s">
        <v>234</v>
      </c>
      <c r="Q253" s="7" t="s">
        <v>90</v>
      </c>
      <c r="R253" s="7" t="s">
        <v>1655</v>
      </c>
      <c r="S253" s="7" t="s">
        <v>651</v>
      </c>
      <c r="T253" s="7" t="s">
        <v>111</v>
      </c>
      <c r="U253" s="10"/>
      <c r="V253" s="7"/>
      <c r="W253" s="7"/>
      <c r="X253" s="7"/>
      <c r="Y253" s="7"/>
      <c r="Z253" s="7"/>
      <c r="AA253" s="7"/>
      <c r="AB253" s="8"/>
      <c r="AC253" s="6"/>
      <c r="AD253" s="6"/>
      <c r="AE253" s="6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8"/>
      <c r="AR253" s="9" t="str">
        <f aca="false">IFERROR(VLOOKUP($X253,Lotes!$A:$E,5,FALSE())*$U253,"")</f>
        <v/>
      </c>
      <c r="AS253" s="9" t="n">
        <f aca="false">IF($L253="","",$L253*2.6)</f>
        <v>130613.6</v>
      </c>
      <c r="AT253" s="9"/>
      <c r="AU253" s="9" t="n">
        <v>108844</v>
      </c>
      <c r="AV253" s="9" t="n">
        <v>108844</v>
      </c>
      <c r="AW253" s="9" t="n">
        <v>108844</v>
      </c>
      <c r="AX253" s="7" t="s">
        <v>234</v>
      </c>
      <c r="AY253" s="7" t="s">
        <v>112</v>
      </c>
      <c r="AZ253" s="7"/>
      <c r="BA253" s="7" t="s">
        <v>1656</v>
      </c>
      <c r="BB253" s="7" t="s">
        <v>1657</v>
      </c>
      <c r="BC253" s="11" t="s">
        <v>1658</v>
      </c>
      <c r="BD253" s="7" t="s">
        <v>98</v>
      </c>
      <c r="BE253" s="11"/>
    </row>
    <row r="254" customFormat="false" ht="15" hidden="false" customHeight="false" outlineLevel="0" collapsed="false">
      <c r="A254" s="6" t="n">
        <v>253</v>
      </c>
      <c r="B254" s="7" t="s">
        <v>648</v>
      </c>
      <c r="C254" s="7" t="s">
        <v>1659</v>
      </c>
      <c r="D254" s="8" t="n">
        <v>0.78</v>
      </c>
      <c r="E254" s="7" t="s">
        <v>172</v>
      </c>
      <c r="F254" s="7" t="s">
        <v>148</v>
      </c>
      <c r="G254" s="6" t="n">
        <v>1</v>
      </c>
      <c r="H254" s="7" t="s">
        <v>200</v>
      </c>
      <c r="I254" s="7"/>
      <c r="J254" s="7"/>
      <c r="K254" s="7" t="s">
        <v>88</v>
      </c>
      <c r="L254" s="9" t="n">
        <v>110377</v>
      </c>
      <c r="M254" s="9"/>
      <c r="N254" s="9"/>
      <c r="O254" s="7" t="s">
        <v>154</v>
      </c>
      <c r="P254" s="7" t="s">
        <v>109</v>
      </c>
      <c r="Q254" s="7" t="s">
        <v>90</v>
      </c>
      <c r="R254" s="7" t="s">
        <v>1660</v>
      </c>
      <c r="S254" s="7" t="s">
        <v>651</v>
      </c>
      <c r="T254" s="7"/>
      <c r="U254" s="10"/>
      <c r="V254" s="7"/>
      <c r="W254" s="7"/>
      <c r="X254" s="7"/>
      <c r="Y254" s="7"/>
      <c r="Z254" s="7"/>
      <c r="AA254" s="7"/>
      <c r="AB254" s="8"/>
      <c r="AC254" s="6"/>
      <c r="AD254" s="6"/>
      <c r="AE254" s="6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8"/>
      <c r="AR254" s="9" t="str">
        <f aca="false">IFERROR(VLOOKUP($X254,Lotes!$A:$E,5,FALSE())*$U254,"")</f>
        <v/>
      </c>
      <c r="AS254" s="9" t="n">
        <f aca="false">IF($L254="","",$L254*2.6)</f>
        <v>286980.2</v>
      </c>
      <c r="AT254" s="9"/>
      <c r="AU254" s="9" t="n">
        <v>239151</v>
      </c>
      <c r="AV254" s="9" t="n">
        <v>239151</v>
      </c>
      <c r="AW254" s="9" t="n">
        <v>0</v>
      </c>
      <c r="AX254" s="7" t="s">
        <v>109</v>
      </c>
      <c r="AY254" s="7" t="s">
        <v>1629</v>
      </c>
      <c r="AZ254" s="7"/>
      <c r="BA254" s="7" t="s">
        <v>1661</v>
      </c>
      <c r="BB254" s="7" t="s">
        <v>1662</v>
      </c>
      <c r="BC254" s="11" t="s">
        <v>1663</v>
      </c>
      <c r="BD254" s="7" t="s">
        <v>98</v>
      </c>
      <c r="BE254" s="11"/>
    </row>
    <row r="255" customFormat="false" ht="15" hidden="false" customHeight="false" outlineLevel="0" collapsed="false">
      <c r="A255" s="6" t="n">
        <v>254</v>
      </c>
      <c r="B255" s="7" t="s">
        <v>648</v>
      </c>
      <c r="C255" s="7" t="s">
        <v>1664</v>
      </c>
      <c r="D255" s="8" t="n">
        <v>0.5</v>
      </c>
      <c r="E255" s="7" t="s">
        <v>172</v>
      </c>
      <c r="F255" s="7" t="s">
        <v>148</v>
      </c>
      <c r="G255" s="6" t="n">
        <v>1</v>
      </c>
      <c r="H255" s="7" t="s">
        <v>200</v>
      </c>
      <c r="I255" s="7"/>
      <c r="J255" s="7"/>
      <c r="K255" s="7" t="s">
        <v>88</v>
      </c>
      <c r="L255" s="9" t="n">
        <v>70755</v>
      </c>
      <c r="M255" s="9"/>
      <c r="N255" s="9"/>
      <c r="O255" s="7" t="s">
        <v>154</v>
      </c>
      <c r="P255" s="7" t="s">
        <v>109</v>
      </c>
      <c r="Q255" s="7" t="s">
        <v>90</v>
      </c>
      <c r="R255" s="7" t="s">
        <v>1665</v>
      </c>
      <c r="S255" s="7" t="s">
        <v>651</v>
      </c>
      <c r="T255" s="7"/>
      <c r="U255" s="10"/>
      <c r="V255" s="7"/>
      <c r="W255" s="7"/>
      <c r="X255" s="7"/>
      <c r="Y255" s="7"/>
      <c r="Z255" s="7"/>
      <c r="AA255" s="7"/>
      <c r="AB255" s="8"/>
      <c r="AC255" s="6"/>
      <c r="AD255" s="6"/>
      <c r="AE255" s="6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8"/>
      <c r="AR255" s="9" t="str">
        <f aca="false">IFERROR(VLOOKUP($X255,Lotes!$A:$E,5,FALSE())*$U255,"")</f>
        <v/>
      </c>
      <c r="AS255" s="9" t="n">
        <f aca="false">IF($L255="","",$L255*2.6)</f>
        <v>183963</v>
      </c>
      <c r="AT255" s="9"/>
      <c r="AU255" s="9" t="n">
        <v>153302</v>
      </c>
      <c r="AV255" s="9" t="n">
        <v>153302</v>
      </c>
      <c r="AW255" s="9" t="n">
        <v>0</v>
      </c>
      <c r="AX255" s="7" t="s">
        <v>109</v>
      </c>
      <c r="AY255" s="7" t="s">
        <v>1629</v>
      </c>
      <c r="AZ255" s="7"/>
      <c r="BA255" s="7" t="s">
        <v>1666</v>
      </c>
      <c r="BB255" s="7" t="s">
        <v>1667</v>
      </c>
      <c r="BC255" s="11" t="s">
        <v>1668</v>
      </c>
      <c r="BD255" s="7" t="s">
        <v>98</v>
      </c>
      <c r="BE255" s="11"/>
    </row>
    <row r="256" customFormat="false" ht="15" hidden="false" customHeight="false" outlineLevel="0" collapsed="false">
      <c r="A256" s="6" t="n">
        <v>255</v>
      </c>
      <c r="B256" s="7" t="s">
        <v>648</v>
      </c>
      <c r="C256" s="7" t="s">
        <v>1669</v>
      </c>
      <c r="D256" s="8" t="n">
        <v>0.49</v>
      </c>
      <c r="E256" s="7" t="s">
        <v>172</v>
      </c>
      <c r="F256" s="7" t="s">
        <v>148</v>
      </c>
      <c r="G256" s="6" t="n">
        <v>1</v>
      </c>
      <c r="H256" s="7" t="s">
        <v>200</v>
      </c>
      <c r="I256" s="7"/>
      <c r="J256" s="7"/>
      <c r="K256" s="7" t="s">
        <v>88</v>
      </c>
      <c r="L256" s="9" t="n">
        <v>69340</v>
      </c>
      <c r="M256" s="9"/>
      <c r="N256" s="9"/>
      <c r="O256" s="7" t="s">
        <v>41</v>
      </c>
      <c r="P256" s="7" t="s">
        <v>234</v>
      </c>
      <c r="Q256" s="7" t="s">
        <v>90</v>
      </c>
      <c r="R256" s="7" t="s">
        <v>1670</v>
      </c>
      <c r="S256" s="7" t="s">
        <v>651</v>
      </c>
      <c r="T256" s="7" t="s">
        <v>111</v>
      </c>
      <c r="U256" s="10"/>
      <c r="V256" s="7"/>
      <c r="W256" s="7"/>
      <c r="X256" s="7"/>
      <c r="Y256" s="7"/>
      <c r="Z256" s="7"/>
      <c r="AA256" s="7"/>
      <c r="AB256" s="8"/>
      <c r="AC256" s="6"/>
      <c r="AD256" s="6"/>
      <c r="AE256" s="6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8"/>
      <c r="AR256" s="9" t="str">
        <f aca="false">IFERROR(VLOOKUP($X256,Lotes!$A:$E,5,FALSE())*$U256,"")</f>
        <v/>
      </c>
      <c r="AS256" s="9" t="n">
        <f aca="false">IF($L256="","",$L256*2.6)</f>
        <v>180284</v>
      </c>
      <c r="AT256" s="9"/>
      <c r="AU256" s="9" t="n">
        <v>150236</v>
      </c>
      <c r="AV256" s="9" t="n">
        <v>150236</v>
      </c>
      <c r="AW256" s="9" t="n">
        <v>150236</v>
      </c>
      <c r="AX256" s="7" t="s">
        <v>234</v>
      </c>
      <c r="AY256" s="7" t="s">
        <v>112</v>
      </c>
      <c r="AZ256" s="7"/>
      <c r="BA256" s="7" t="s">
        <v>1671</v>
      </c>
      <c r="BB256" s="7" t="s">
        <v>1672</v>
      </c>
      <c r="BC256" s="11" t="s">
        <v>1673</v>
      </c>
      <c r="BD256" s="7" t="s">
        <v>98</v>
      </c>
      <c r="BE256" s="11"/>
    </row>
    <row r="257" customFormat="false" ht="15" hidden="false" customHeight="false" outlineLevel="0" collapsed="false">
      <c r="A257" s="6" t="n">
        <v>256</v>
      </c>
      <c r="B257" s="7" t="s">
        <v>1210</v>
      </c>
      <c r="C257" s="7" t="s">
        <v>1674</v>
      </c>
      <c r="D257" s="8" t="n">
        <v>0.16</v>
      </c>
      <c r="E257" s="7" t="s">
        <v>386</v>
      </c>
      <c r="F257" s="7" t="s">
        <v>311</v>
      </c>
      <c r="G257" s="6" t="n">
        <v>1</v>
      </c>
      <c r="H257" s="7" t="s">
        <v>101</v>
      </c>
      <c r="I257" s="7" t="s">
        <v>303</v>
      </c>
      <c r="J257" s="7" t="s">
        <v>1225</v>
      </c>
      <c r="K257" s="7" t="s">
        <v>88</v>
      </c>
      <c r="L257" s="9" t="n">
        <v>134000</v>
      </c>
      <c r="M257" s="9"/>
      <c r="N257" s="9"/>
      <c r="O257" s="7" t="s">
        <v>41</v>
      </c>
      <c r="P257" s="7" t="s">
        <v>997</v>
      </c>
      <c r="Q257" s="7" t="s">
        <v>90</v>
      </c>
      <c r="R257" s="7" t="s">
        <v>1675</v>
      </c>
      <c r="S257" s="7" t="s">
        <v>1219</v>
      </c>
      <c r="T257" s="7" t="s">
        <v>93</v>
      </c>
      <c r="U257" s="10"/>
      <c r="V257" s="7"/>
      <c r="W257" s="7"/>
      <c r="X257" s="7"/>
      <c r="Y257" s="7"/>
      <c r="Z257" s="7"/>
      <c r="AA257" s="7"/>
      <c r="AB257" s="8"/>
      <c r="AC257" s="6"/>
      <c r="AD257" s="6"/>
      <c r="AE257" s="6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8"/>
      <c r="AR257" s="9" t="str">
        <f aca="false">IFERROR(VLOOKUP($X257,Lotes!$A:$E,5,FALSE())*$U257,"")</f>
        <v/>
      </c>
      <c r="AS257" s="9" t="n">
        <f aca="false">IF($L257="","",$L257*2.6)</f>
        <v>348400</v>
      </c>
      <c r="AT257" s="9"/>
      <c r="AU257" s="9" t="n">
        <v>519750</v>
      </c>
      <c r="AV257" s="9" t="n">
        <v>519750</v>
      </c>
      <c r="AW257" s="9" t="n">
        <v>0</v>
      </c>
      <c r="AX257" s="7" t="s">
        <v>997</v>
      </c>
      <c r="AY257" s="7" t="s">
        <v>94</v>
      </c>
      <c r="AZ257" s="7"/>
      <c r="BA257" s="7" t="s">
        <v>1676</v>
      </c>
      <c r="BB257" s="7" t="s">
        <v>1677</v>
      </c>
      <c r="BC257" s="11" t="s">
        <v>1678</v>
      </c>
      <c r="BD257" s="7" t="s">
        <v>98</v>
      </c>
      <c r="BE257" s="11"/>
    </row>
    <row r="258" customFormat="false" ht="46.25" hidden="false" customHeight="false" outlineLevel="0" collapsed="false">
      <c r="A258" s="6" t="n">
        <v>257</v>
      </c>
      <c r="B258" s="7" t="s">
        <v>1210</v>
      </c>
      <c r="C258" s="7" t="s">
        <v>1679</v>
      </c>
      <c r="D258" s="8" t="n">
        <v>0.07</v>
      </c>
      <c r="E258" s="7" t="s">
        <v>386</v>
      </c>
      <c r="F258" s="7" t="s">
        <v>311</v>
      </c>
      <c r="G258" s="6" t="n">
        <v>1</v>
      </c>
      <c r="H258" s="7" t="s">
        <v>101</v>
      </c>
      <c r="I258" s="7" t="s">
        <v>303</v>
      </c>
      <c r="J258" s="7" t="s">
        <v>1680</v>
      </c>
      <c r="K258" s="7" t="s">
        <v>88</v>
      </c>
      <c r="L258" s="9" t="n">
        <v>140250</v>
      </c>
      <c r="M258" s="9"/>
      <c r="N258" s="9"/>
      <c r="O258" s="7" t="s">
        <v>154</v>
      </c>
      <c r="P258" s="7" t="s">
        <v>89</v>
      </c>
      <c r="Q258" s="7" t="s">
        <v>155</v>
      </c>
      <c r="R258" s="7" t="s">
        <v>1681</v>
      </c>
      <c r="S258" s="7" t="s">
        <v>1219</v>
      </c>
      <c r="T258" s="7"/>
      <c r="U258" s="10"/>
      <c r="V258" s="7"/>
      <c r="W258" s="7"/>
      <c r="X258" s="7" t="s">
        <v>1682</v>
      </c>
      <c r="Y258" s="7"/>
      <c r="Z258" s="7"/>
      <c r="AA258" s="7"/>
      <c r="AB258" s="8"/>
      <c r="AC258" s="6"/>
      <c r="AD258" s="6"/>
      <c r="AE258" s="6"/>
      <c r="AF258" s="7" t="s">
        <v>583</v>
      </c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8" t="n">
        <v>0.21</v>
      </c>
      <c r="AR258" s="9" t="n">
        <f aca="false">IFERROR(VLOOKUP($X258,Lotes!$A:$E,5,FALSE())*$U258,"")</f>
        <v>0</v>
      </c>
      <c r="AS258" s="9" t="n">
        <f aca="false">IF($L258="","",$L258*2.6)</f>
        <v>364650</v>
      </c>
      <c r="AT258" s="9"/>
      <c r="AU258" s="9" t="n">
        <v>393750</v>
      </c>
      <c r="AV258" s="9" t="n">
        <v>393750</v>
      </c>
      <c r="AW258" s="9" t="n">
        <v>393750</v>
      </c>
      <c r="AX258" s="7" t="s">
        <v>159</v>
      </c>
      <c r="AY258" s="7" t="s">
        <v>160</v>
      </c>
      <c r="AZ258" s="7"/>
      <c r="BA258" s="7" t="s">
        <v>1683</v>
      </c>
      <c r="BB258" s="7" t="s">
        <v>1684</v>
      </c>
      <c r="BC258" s="11" t="s">
        <v>1685</v>
      </c>
      <c r="BD258" s="7" t="s">
        <v>164</v>
      </c>
      <c r="BE258" s="11" t="s">
        <v>794</v>
      </c>
    </row>
    <row r="259" customFormat="false" ht="15" hidden="false" customHeight="false" outlineLevel="0" collapsed="false">
      <c r="A259" s="6" t="n">
        <v>258</v>
      </c>
      <c r="B259" s="7" t="s">
        <v>1210</v>
      </c>
      <c r="C259" s="7" t="s">
        <v>1686</v>
      </c>
      <c r="D259" s="8" t="n">
        <v>0.05</v>
      </c>
      <c r="E259" s="7" t="s">
        <v>386</v>
      </c>
      <c r="F259" s="7" t="s">
        <v>311</v>
      </c>
      <c r="G259" s="6" t="n">
        <v>1</v>
      </c>
      <c r="H259" s="7" t="s">
        <v>101</v>
      </c>
      <c r="I259" s="7" t="s">
        <v>303</v>
      </c>
      <c r="J259" s="7" t="s">
        <v>1687</v>
      </c>
      <c r="K259" s="7" t="s">
        <v>88</v>
      </c>
      <c r="L259" s="9" t="n">
        <v>50000</v>
      </c>
      <c r="M259" s="9"/>
      <c r="N259" s="9"/>
      <c r="O259" s="7" t="s">
        <v>41</v>
      </c>
      <c r="P259" s="7" t="s">
        <v>997</v>
      </c>
      <c r="Q259" s="7" t="s">
        <v>90</v>
      </c>
      <c r="R259" s="7" t="s">
        <v>1688</v>
      </c>
      <c r="S259" s="7" t="s">
        <v>1219</v>
      </c>
      <c r="T259" s="7" t="s">
        <v>93</v>
      </c>
      <c r="U259" s="10"/>
      <c r="V259" s="7"/>
      <c r="W259" s="7"/>
      <c r="X259" s="7"/>
      <c r="Y259" s="7"/>
      <c r="Z259" s="7"/>
      <c r="AA259" s="7"/>
      <c r="AB259" s="8"/>
      <c r="AC259" s="6"/>
      <c r="AD259" s="6"/>
      <c r="AE259" s="6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8"/>
      <c r="AR259" s="9" t="str">
        <f aca="false">IFERROR(VLOOKUP($X259,Lotes!$A:$E,5,FALSE())*$U259,"")</f>
        <v/>
      </c>
      <c r="AS259" s="9" t="n">
        <f aca="false">IF($L259="","",$L259*2.6)</f>
        <v>130000</v>
      </c>
      <c r="AT259" s="9"/>
      <c r="AU259" s="9" t="n">
        <v>267750</v>
      </c>
      <c r="AV259" s="9" t="n">
        <v>214200</v>
      </c>
      <c r="AW259" s="9" t="n">
        <v>0</v>
      </c>
      <c r="AX259" s="7" t="s">
        <v>997</v>
      </c>
      <c r="AY259" s="7" t="s">
        <v>94</v>
      </c>
      <c r="AZ259" s="7"/>
      <c r="BA259" s="7" t="s">
        <v>1689</v>
      </c>
      <c r="BB259" s="7" t="s">
        <v>1690</v>
      </c>
      <c r="BC259" s="11" t="s">
        <v>1691</v>
      </c>
      <c r="BD259" s="7" t="s">
        <v>98</v>
      </c>
      <c r="BE259" s="11"/>
    </row>
    <row r="260" customFormat="false" ht="46.25" hidden="false" customHeight="false" outlineLevel="0" collapsed="false">
      <c r="A260" s="6" t="n">
        <v>259</v>
      </c>
      <c r="B260" s="7" t="s">
        <v>1210</v>
      </c>
      <c r="C260" s="7" t="s">
        <v>1692</v>
      </c>
      <c r="D260" s="8" t="n">
        <v>0.08</v>
      </c>
      <c r="E260" s="7" t="s">
        <v>386</v>
      </c>
      <c r="F260" s="7" t="s">
        <v>311</v>
      </c>
      <c r="G260" s="6" t="n">
        <v>1</v>
      </c>
      <c r="H260" s="7" t="s">
        <v>200</v>
      </c>
      <c r="I260" s="7" t="s">
        <v>271</v>
      </c>
      <c r="J260" s="7" t="s">
        <v>1693</v>
      </c>
      <c r="K260" s="7" t="s">
        <v>88</v>
      </c>
      <c r="L260" s="9" t="n">
        <v>204750</v>
      </c>
      <c r="M260" s="9"/>
      <c r="N260" s="9"/>
      <c r="O260" s="7" t="s">
        <v>154</v>
      </c>
      <c r="P260" s="7" t="s">
        <v>89</v>
      </c>
      <c r="Q260" s="7" t="s">
        <v>155</v>
      </c>
      <c r="R260" s="7" t="s">
        <v>1694</v>
      </c>
      <c r="S260" s="7" t="s">
        <v>1219</v>
      </c>
      <c r="T260" s="7"/>
      <c r="U260" s="10"/>
      <c r="V260" s="7"/>
      <c r="W260" s="7"/>
      <c r="X260" s="7" t="s">
        <v>1695</v>
      </c>
      <c r="Y260" s="7"/>
      <c r="Z260" s="7"/>
      <c r="AA260" s="7"/>
      <c r="AB260" s="8"/>
      <c r="AC260" s="6"/>
      <c r="AD260" s="6"/>
      <c r="AE260" s="6"/>
      <c r="AF260" s="7" t="s">
        <v>583</v>
      </c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8"/>
      <c r="AR260" s="9" t="n">
        <f aca="false">IFERROR(VLOOKUP($X260,Lotes!$A:$E,5,FALSE())*$U260,"")</f>
        <v>0</v>
      </c>
      <c r="AS260" s="9" t="n">
        <f aca="false">IF($L260="","",$L260*2.6)</f>
        <v>532350</v>
      </c>
      <c r="AT260" s="9"/>
      <c r="AU260" s="9" t="n">
        <v>204750</v>
      </c>
      <c r="AV260" s="9" t="n">
        <v>204750</v>
      </c>
      <c r="AW260" s="9" t="n">
        <v>204750</v>
      </c>
      <c r="AX260" s="7" t="s">
        <v>159</v>
      </c>
      <c r="AY260" s="7" t="s">
        <v>160</v>
      </c>
      <c r="AZ260" s="7"/>
      <c r="BA260" s="7" t="s">
        <v>1696</v>
      </c>
      <c r="BB260" s="7" t="s">
        <v>1697</v>
      </c>
      <c r="BC260" s="11" t="s">
        <v>1698</v>
      </c>
      <c r="BD260" s="7" t="s">
        <v>164</v>
      </c>
      <c r="BE260" s="11" t="s">
        <v>794</v>
      </c>
    </row>
    <row r="261" customFormat="false" ht="46.25" hidden="false" customHeight="false" outlineLevel="0" collapsed="false">
      <c r="A261" s="6" t="n">
        <v>260</v>
      </c>
      <c r="B261" s="7" t="s">
        <v>1210</v>
      </c>
      <c r="C261" s="7" t="s">
        <v>1699</v>
      </c>
      <c r="D261" s="8" t="n">
        <v>0.08</v>
      </c>
      <c r="E261" s="7" t="s">
        <v>386</v>
      </c>
      <c r="F261" s="7" t="s">
        <v>311</v>
      </c>
      <c r="G261" s="6" t="n">
        <v>1</v>
      </c>
      <c r="H261" s="7" t="s">
        <v>101</v>
      </c>
      <c r="I261" s="7" t="s">
        <v>303</v>
      </c>
      <c r="J261" s="7" t="s">
        <v>1700</v>
      </c>
      <c r="K261" s="7" t="s">
        <v>88</v>
      </c>
      <c r="L261" s="9" t="n">
        <v>198400</v>
      </c>
      <c r="M261" s="9"/>
      <c r="N261" s="9"/>
      <c r="O261" s="7" t="s">
        <v>154</v>
      </c>
      <c r="P261" s="7" t="s">
        <v>89</v>
      </c>
      <c r="Q261" s="7" t="s">
        <v>155</v>
      </c>
      <c r="R261" s="7" t="s">
        <v>1701</v>
      </c>
      <c r="S261" s="7" t="s">
        <v>1219</v>
      </c>
      <c r="T261" s="7"/>
      <c r="U261" s="10"/>
      <c r="V261" s="7"/>
      <c r="W261" s="7"/>
      <c r="X261" s="7" t="s">
        <v>1682</v>
      </c>
      <c r="Y261" s="7"/>
      <c r="Z261" s="7"/>
      <c r="AA261" s="7"/>
      <c r="AB261" s="8"/>
      <c r="AC261" s="6"/>
      <c r="AD261" s="6"/>
      <c r="AE261" s="6"/>
      <c r="AF261" s="7" t="s">
        <v>583</v>
      </c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8" t="n">
        <v>0.27</v>
      </c>
      <c r="AR261" s="9" t="n">
        <f aca="false">IFERROR(VLOOKUP($X261,Lotes!$A:$E,5,FALSE())*$U261,"")</f>
        <v>0</v>
      </c>
      <c r="AS261" s="9" t="n">
        <f aca="false">IF($L261="","",$L261*2.6)</f>
        <v>515840</v>
      </c>
      <c r="AT261" s="9"/>
      <c r="AU261" s="9" t="n">
        <v>189000</v>
      </c>
      <c r="AV261" s="9" t="n">
        <v>189000</v>
      </c>
      <c r="AW261" s="9" t="n">
        <v>189000</v>
      </c>
      <c r="AX261" s="7" t="s">
        <v>159</v>
      </c>
      <c r="AY261" s="7" t="s">
        <v>160</v>
      </c>
      <c r="AZ261" s="7"/>
      <c r="BA261" s="7" t="s">
        <v>1702</v>
      </c>
      <c r="BB261" s="7" t="s">
        <v>1703</v>
      </c>
      <c r="BC261" s="11" t="s">
        <v>1704</v>
      </c>
      <c r="BD261" s="7" t="s">
        <v>164</v>
      </c>
      <c r="BE261" s="11" t="s">
        <v>794</v>
      </c>
    </row>
    <row r="262" customFormat="false" ht="68.65" hidden="false" customHeight="false" outlineLevel="0" collapsed="false">
      <c r="A262" s="6" t="n">
        <v>261</v>
      </c>
      <c r="B262" s="7" t="s">
        <v>1210</v>
      </c>
      <c r="C262" s="7" t="s">
        <v>1705</v>
      </c>
      <c r="D262" s="8" t="n">
        <v>0.27</v>
      </c>
      <c r="E262" s="7" t="s">
        <v>172</v>
      </c>
      <c r="F262" s="7" t="s">
        <v>270</v>
      </c>
      <c r="G262" s="6" t="n">
        <v>2</v>
      </c>
      <c r="H262" s="7" t="s">
        <v>178</v>
      </c>
      <c r="I262" s="7" t="s">
        <v>271</v>
      </c>
      <c r="J262" s="7" t="s">
        <v>1706</v>
      </c>
      <c r="K262" s="7" t="s">
        <v>88</v>
      </c>
      <c r="L262" s="9" t="n">
        <v>215000</v>
      </c>
      <c r="M262" s="9"/>
      <c r="N262" s="9"/>
      <c r="O262" s="7" t="s">
        <v>41</v>
      </c>
      <c r="P262" s="7" t="s">
        <v>1707</v>
      </c>
      <c r="Q262" s="7" t="s">
        <v>90</v>
      </c>
      <c r="R262" s="7" t="s">
        <v>1708</v>
      </c>
      <c r="S262" s="7" t="s">
        <v>1219</v>
      </c>
      <c r="T262" s="7" t="s">
        <v>93</v>
      </c>
      <c r="U262" s="10"/>
      <c r="V262" s="7"/>
      <c r="W262" s="7"/>
      <c r="X262" s="7" t="s">
        <v>1709</v>
      </c>
      <c r="Y262" s="7"/>
      <c r="Z262" s="7"/>
      <c r="AA262" s="7"/>
      <c r="AB262" s="8"/>
      <c r="AC262" s="6"/>
      <c r="AD262" s="6"/>
      <c r="AE262" s="6"/>
      <c r="AF262" s="7" t="s">
        <v>583</v>
      </c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8"/>
      <c r="AR262" s="9" t="n">
        <f aca="false">IFERROR(VLOOKUP($X262,Lotes!$A:$E,5,FALSE())*$U262,"")</f>
        <v>0</v>
      </c>
      <c r="AS262" s="9" t="n">
        <f aca="false">IF($L262="","",$L262*2.6)</f>
        <v>559000</v>
      </c>
      <c r="AT262" s="9" t="n">
        <v>2660084.034</v>
      </c>
      <c r="AU262" s="9" t="n">
        <v>645000</v>
      </c>
      <c r="AV262" s="9" t="n">
        <v>428925</v>
      </c>
      <c r="AW262" s="9" t="n">
        <v>0</v>
      </c>
      <c r="AX262" s="7" t="s">
        <v>990</v>
      </c>
      <c r="AY262" s="7" t="s">
        <v>94</v>
      </c>
      <c r="AZ262" s="7"/>
      <c r="BA262" s="7" t="s">
        <v>1710</v>
      </c>
      <c r="BB262" s="7" t="s">
        <v>1711</v>
      </c>
      <c r="BC262" s="11" t="s">
        <v>1712</v>
      </c>
      <c r="BD262" s="7" t="s">
        <v>164</v>
      </c>
      <c r="BE262" s="11" t="s">
        <v>1713</v>
      </c>
    </row>
    <row r="263" customFormat="false" ht="15" hidden="false" customHeight="false" outlineLevel="0" collapsed="false">
      <c r="A263" s="6" t="n">
        <v>262</v>
      </c>
      <c r="B263" s="7" t="s">
        <v>1210</v>
      </c>
      <c r="C263" s="7" t="s">
        <v>1714</v>
      </c>
      <c r="D263" s="8" t="n">
        <v>0.37</v>
      </c>
      <c r="E263" s="7" t="s">
        <v>172</v>
      </c>
      <c r="F263" s="7" t="s">
        <v>270</v>
      </c>
      <c r="G263" s="6" t="n">
        <v>1</v>
      </c>
      <c r="H263" s="7" t="s">
        <v>87</v>
      </c>
      <c r="I263" s="7" t="s">
        <v>271</v>
      </c>
      <c r="J263" s="7" t="s">
        <v>1706</v>
      </c>
      <c r="K263" s="7" t="s">
        <v>88</v>
      </c>
      <c r="L263" s="9" t="n">
        <v>294000</v>
      </c>
      <c r="M263" s="9"/>
      <c r="N263" s="9"/>
      <c r="O263" s="7" t="s">
        <v>41</v>
      </c>
      <c r="P263" s="7" t="s">
        <v>344</v>
      </c>
      <c r="Q263" s="7" t="s">
        <v>90</v>
      </c>
      <c r="R263" s="7" t="s">
        <v>1715</v>
      </c>
      <c r="S263" s="7" t="s">
        <v>1219</v>
      </c>
      <c r="T263" s="7" t="s">
        <v>93</v>
      </c>
      <c r="U263" s="10"/>
      <c r="V263" s="7"/>
      <c r="W263" s="7"/>
      <c r="X263" s="7"/>
      <c r="Y263" s="7"/>
      <c r="Z263" s="7"/>
      <c r="AA263" s="7"/>
      <c r="AB263" s="8"/>
      <c r="AC263" s="6"/>
      <c r="AD263" s="6"/>
      <c r="AE263" s="6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8"/>
      <c r="AR263" s="9" t="str">
        <f aca="false">IFERROR(VLOOKUP($X263,Lotes!$A:$E,5,FALSE())*$U263,"")</f>
        <v/>
      </c>
      <c r="AS263" s="9" t="n">
        <f aca="false">IF($L263="","",$L263*2.6)</f>
        <v>764400</v>
      </c>
      <c r="AT263" s="9"/>
      <c r="AU263" s="9" t="n">
        <v>882000</v>
      </c>
      <c r="AV263" s="9" t="n">
        <v>608580</v>
      </c>
      <c r="AW263" s="9" t="n">
        <v>0</v>
      </c>
      <c r="AX263" s="7" t="s">
        <v>344</v>
      </c>
      <c r="AY263" s="7" t="s">
        <v>94</v>
      </c>
      <c r="AZ263" s="7"/>
      <c r="BA263" s="7" t="s">
        <v>1716</v>
      </c>
      <c r="BB263" s="7" t="s">
        <v>1717</v>
      </c>
      <c r="BC263" s="11" t="s">
        <v>1718</v>
      </c>
      <c r="BD263" s="7" t="s">
        <v>98</v>
      </c>
      <c r="BE263" s="11"/>
    </row>
    <row r="264" customFormat="false" ht="79.85" hidden="false" customHeight="false" outlineLevel="0" collapsed="false">
      <c r="A264" s="6" t="n">
        <v>263</v>
      </c>
      <c r="B264" s="7" t="s">
        <v>1210</v>
      </c>
      <c r="C264" s="7" t="s">
        <v>1719</v>
      </c>
      <c r="D264" s="8" t="n">
        <v>0.22</v>
      </c>
      <c r="E264" s="7" t="s">
        <v>85</v>
      </c>
      <c r="F264" s="7" t="s">
        <v>270</v>
      </c>
      <c r="G264" s="6" t="n">
        <v>1</v>
      </c>
      <c r="H264" s="7" t="s">
        <v>124</v>
      </c>
      <c r="I264" s="7" t="s">
        <v>271</v>
      </c>
      <c r="J264" s="7" t="s">
        <v>1720</v>
      </c>
      <c r="K264" s="7" t="s">
        <v>88</v>
      </c>
      <c r="L264" s="9" t="n">
        <v>212000</v>
      </c>
      <c r="M264" s="9"/>
      <c r="N264" s="9"/>
      <c r="O264" s="7" t="s">
        <v>154</v>
      </c>
      <c r="P264" s="7" t="s">
        <v>89</v>
      </c>
      <c r="Q264" s="7" t="s">
        <v>155</v>
      </c>
      <c r="R264" s="7" t="s">
        <v>1721</v>
      </c>
      <c r="S264" s="7" t="s">
        <v>1722</v>
      </c>
      <c r="T264" s="7"/>
      <c r="U264" s="10"/>
      <c r="V264" s="7"/>
      <c r="W264" s="7"/>
      <c r="X264" s="7" t="s">
        <v>611</v>
      </c>
      <c r="Y264" s="7"/>
      <c r="Z264" s="7"/>
      <c r="AA264" s="7"/>
      <c r="AB264" s="8"/>
      <c r="AC264" s="6"/>
      <c r="AD264" s="6"/>
      <c r="AE264" s="6"/>
      <c r="AF264" s="7" t="s">
        <v>583</v>
      </c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8" t="n">
        <v>1.27</v>
      </c>
      <c r="AR264" s="9" t="n">
        <f aca="false">IFERROR(VLOOKUP($X264,Lotes!$A:$E,5,FALSE())*$U264,"")</f>
        <v>0</v>
      </c>
      <c r="AS264" s="9" t="n">
        <f aca="false">IF($L264="","",$L264*2.6)</f>
        <v>551200</v>
      </c>
      <c r="AT264" s="9"/>
      <c r="AU264" s="9" t="n">
        <v>525000</v>
      </c>
      <c r="AV264" s="9" t="n">
        <v>525000</v>
      </c>
      <c r="AW264" s="9" t="n">
        <v>525000</v>
      </c>
      <c r="AX264" s="7" t="s">
        <v>159</v>
      </c>
      <c r="AY264" s="7" t="s">
        <v>160</v>
      </c>
      <c r="AZ264" s="7"/>
      <c r="BA264" s="7" t="s">
        <v>1723</v>
      </c>
      <c r="BB264" s="7" t="s">
        <v>1724</v>
      </c>
      <c r="BC264" s="11" t="s">
        <v>1725</v>
      </c>
      <c r="BD264" s="7" t="s">
        <v>164</v>
      </c>
      <c r="BE264" s="11" t="s">
        <v>1726</v>
      </c>
    </row>
    <row r="265" customFormat="false" ht="57.45" hidden="false" customHeight="false" outlineLevel="0" collapsed="false">
      <c r="A265" s="6" t="n">
        <v>264</v>
      </c>
      <c r="B265" s="7" t="s">
        <v>1727</v>
      </c>
      <c r="C265" s="7" t="s">
        <v>1728</v>
      </c>
      <c r="D265" s="8" t="n">
        <v>0.26</v>
      </c>
      <c r="E265" s="7" t="s">
        <v>386</v>
      </c>
      <c r="F265" s="7" t="s">
        <v>311</v>
      </c>
      <c r="G265" s="6" t="n">
        <v>1</v>
      </c>
      <c r="H265" s="7" t="s">
        <v>87</v>
      </c>
      <c r="I265" s="7" t="s">
        <v>271</v>
      </c>
      <c r="J265" s="7" t="s">
        <v>1729</v>
      </c>
      <c r="K265" s="7" t="s">
        <v>88</v>
      </c>
      <c r="L265" s="9" t="n">
        <v>207000</v>
      </c>
      <c r="M265" s="9"/>
      <c r="N265" s="9"/>
      <c r="O265" s="7" t="s">
        <v>154</v>
      </c>
      <c r="P265" s="7" t="s">
        <v>1730</v>
      </c>
      <c r="Q265" s="7" t="s">
        <v>90</v>
      </c>
      <c r="R265" s="7" t="s">
        <v>1731</v>
      </c>
      <c r="S265" s="7" t="s">
        <v>1722</v>
      </c>
      <c r="T265" s="7"/>
      <c r="U265" s="10"/>
      <c r="V265" s="7"/>
      <c r="W265" s="7"/>
      <c r="X265" s="7" t="s">
        <v>1732</v>
      </c>
      <c r="Y265" s="7"/>
      <c r="Z265" s="7"/>
      <c r="AA265" s="7"/>
      <c r="AB265" s="8"/>
      <c r="AC265" s="6"/>
      <c r="AD265" s="6"/>
      <c r="AE265" s="6"/>
      <c r="AF265" s="7" t="s">
        <v>583</v>
      </c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8"/>
      <c r="AR265" s="9" t="n">
        <f aca="false">IFERROR(VLOOKUP($X265,Lotes!$A:$E,5,FALSE())*$U265,"")</f>
        <v>0</v>
      </c>
      <c r="AS265" s="9" t="n">
        <f aca="false">IF($L265="","",$L265*2.6)</f>
        <v>538200</v>
      </c>
      <c r="AT265" s="9" t="n">
        <v>2648655.462</v>
      </c>
      <c r="AU265" s="9" t="n">
        <v>621000</v>
      </c>
      <c r="AV265" s="9" t="n">
        <v>621000</v>
      </c>
      <c r="AW265" s="9" t="n">
        <v>621000</v>
      </c>
      <c r="AX265" s="7" t="s">
        <v>159</v>
      </c>
      <c r="AY265" s="7" t="s">
        <v>160</v>
      </c>
      <c r="AZ265" s="7"/>
      <c r="BA265" s="7" t="s">
        <v>1733</v>
      </c>
      <c r="BB265" s="7" t="s">
        <v>1734</v>
      </c>
      <c r="BC265" s="11" t="s">
        <v>1735</v>
      </c>
      <c r="BD265" s="7" t="s">
        <v>164</v>
      </c>
      <c r="BE265" s="11" t="s">
        <v>1736</v>
      </c>
    </row>
    <row r="266" customFormat="false" ht="46.25" hidden="false" customHeight="false" outlineLevel="0" collapsed="false">
      <c r="A266" s="6" t="n">
        <v>265</v>
      </c>
      <c r="B266" s="7" t="s">
        <v>1727</v>
      </c>
      <c r="C266" s="7" t="s">
        <v>1737</v>
      </c>
      <c r="D266" s="8" t="n">
        <v>0.54</v>
      </c>
      <c r="E266" s="7" t="s">
        <v>386</v>
      </c>
      <c r="F266" s="7" t="s">
        <v>311</v>
      </c>
      <c r="G266" s="6" t="n">
        <v>1</v>
      </c>
      <c r="H266" s="7" t="s">
        <v>87</v>
      </c>
      <c r="I266" s="7" t="s">
        <v>271</v>
      </c>
      <c r="J266" s="7" t="s">
        <v>1738</v>
      </c>
      <c r="K266" s="7" t="s">
        <v>88</v>
      </c>
      <c r="L266" s="9" t="n">
        <v>430000</v>
      </c>
      <c r="M266" s="9"/>
      <c r="N266" s="9"/>
      <c r="O266" s="7" t="s">
        <v>41</v>
      </c>
      <c r="P266" s="7" t="s">
        <v>997</v>
      </c>
      <c r="Q266" s="7" t="s">
        <v>155</v>
      </c>
      <c r="R266" s="7" t="s">
        <v>1739</v>
      </c>
      <c r="S266" s="7" t="s">
        <v>1722</v>
      </c>
      <c r="T266" s="7"/>
      <c r="U266" s="10"/>
      <c r="V266" s="7"/>
      <c r="W266" s="7"/>
      <c r="X266" s="7"/>
      <c r="Y266" s="7"/>
      <c r="Z266" s="7"/>
      <c r="AA266" s="7"/>
      <c r="AB266" s="8"/>
      <c r="AC266" s="6"/>
      <c r="AD266" s="6"/>
      <c r="AE266" s="6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8"/>
      <c r="AR266" s="9" t="str">
        <f aca="false">IFERROR(VLOOKUP($X266,Lotes!$A:$E,5,FALSE())*$U266,"")</f>
        <v/>
      </c>
      <c r="AS266" s="9" t="n">
        <f aca="false">IF($L266="","",$L266*2.6)</f>
        <v>1118000</v>
      </c>
      <c r="AT266" s="9"/>
      <c r="AU266" s="9" t="n">
        <v>1290000</v>
      </c>
      <c r="AV266" s="9" t="n">
        <v>1290000</v>
      </c>
      <c r="AW266" s="9" t="n">
        <v>1290000</v>
      </c>
      <c r="AX266" s="7" t="s">
        <v>159</v>
      </c>
      <c r="AY266" s="7" t="s">
        <v>160</v>
      </c>
      <c r="AZ266" s="7"/>
      <c r="BA266" s="7" t="s">
        <v>1740</v>
      </c>
      <c r="BB266" s="7" t="s">
        <v>1741</v>
      </c>
      <c r="BC266" s="11" t="s">
        <v>1742</v>
      </c>
      <c r="BD266" s="7" t="s">
        <v>1038</v>
      </c>
      <c r="BE266" s="11" t="s">
        <v>1743</v>
      </c>
    </row>
    <row r="267" customFormat="false" ht="68.65" hidden="false" customHeight="false" outlineLevel="0" collapsed="false">
      <c r="A267" s="6" t="n">
        <v>266</v>
      </c>
      <c r="B267" s="7" t="s">
        <v>1727</v>
      </c>
      <c r="C267" s="7" t="s">
        <v>1744</v>
      </c>
      <c r="D267" s="8"/>
      <c r="E267" s="7" t="s">
        <v>172</v>
      </c>
      <c r="F267" s="7" t="s">
        <v>270</v>
      </c>
      <c r="G267" s="6" t="n">
        <v>1</v>
      </c>
      <c r="H267" s="7" t="s">
        <v>681</v>
      </c>
      <c r="I267" s="7"/>
      <c r="J267" s="7"/>
      <c r="K267" s="7" t="s">
        <v>88</v>
      </c>
      <c r="L267" s="9" t="n">
        <v>0</v>
      </c>
      <c r="M267" s="9"/>
      <c r="N267" s="9"/>
      <c r="O267" s="7" t="s">
        <v>154</v>
      </c>
      <c r="P267" s="7" t="s">
        <v>89</v>
      </c>
      <c r="Q267" s="7"/>
      <c r="R267" s="7" t="s">
        <v>1745</v>
      </c>
      <c r="S267" s="7" t="s">
        <v>1722</v>
      </c>
      <c r="T267" s="7"/>
      <c r="U267" s="10"/>
      <c r="V267" s="7"/>
      <c r="W267" s="7"/>
      <c r="X267" s="7"/>
      <c r="Y267" s="7"/>
      <c r="Z267" s="7"/>
      <c r="AA267" s="7"/>
      <c r="AB267" s="8"/>
      <c r="AC267" s="6"/>
      <c r="AD267" s="6"/>
      <c r="AE267" s="6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8"/>
      <c r="AR267" s="9" t="str">
        <f aca="false">IFERROR(VLOOKUP($X267,Lotes!$A:$E,5,FALSE())*$U267,"")</f>
        <v/>
      </c>
      <c r="AS267" s="9" t="n">
        <f aca="false">IF($L267="","",$L267*2.6)</f>
        <v>0</v>
      </c>
      <c r="AT267" s="9"/>
      <c r="AU267" s="9" t="n">
        <v>0</v>
      </c>
      <c r="AV267" s="9" t="n">
        <v>0</v>
      </c>
      <c r="AW267" s="9" t="n">
        <v>0</v>
      </c>
      <c r="AX267" s="7" t="s">
        <v>159</v>
      </c>
      <c r="AY267" s="7" t="s">
        <v>160</v>
      </c>
      <c r="AZ267" s="7"/>
      <c r="BA267" s="7" t="s">
        <v>1746</v>
      </c>
      <c r="BB267" s="7" t="s">
        <v>1747</v>
      </c>
      <c r="BC267" s="11" t="s">
        <v>1748</v>
      </c>
      <c r="BD267" s="7" t="s">
        <v>98</v>
      </c>
      <c r="BE267" s="11" t="s">
        <v>1749</v>
      </c>
    </row>
    <row r="268" customFormat="false" ht="68.65" hidden="false" customHeight="false" outlineLevel="0" collapsed="false">
      <c r="A268" s="6" t="n">
        <v>267</v>
      </c>
      <c r="B268" s="7" t="s">
        <v>1727</v>
      </c>
      <c r="C268" s="7" t="s">
        <v>1750</v>
      </c>
      <c r="D268" s="8"/>
      <c r="E268" s="7" t="s">
        <v>172</v>
      </c>
      <c r="F268" s="7" t="s">
        <v>270</v>
      </c>
      <c r="G268" s="6" t="n">
        <v>1</v>
      </c>
      <c r="H268" s="7" t="s">
        <v>681</v>
      </c>
      <c r="I268" s="7"/>
      <c r="J268" s="7"/>
      <c r="K268" s="7" t="s">
        <v>88</v>
      </c>
      <c r="L268" s="9" t="n">
        <v>0</v>
      </c>
      <c r="M268" s="9"/>
      <c r="N268" s="9"/>
      <c r="O268" s="7" t="s">
        <v>154</v>
      </c>
      <c r="P268" s="7" t="s">
        <v>89</v>
      </c>
      <c r="Q268" s="7"/>
      <c r="R268" s="7" t="s">
        <v>1751</v>
      </c>
      <c r="S268" s="7" t="s">
        <v>1722</v>
      </c>
      <c r="T268" s="7"/>
      <c r="U268" s="10"/>
      <c r="V268" s="7"/>
      <c r="W268" s="7"/>
      <c r="X268" s="7"/>
      <c r="Y268" s="7"/>
      <c r="Z268" s="7"/>
      <c r="AA268" s="7"/>
      <c r="AB268" s="8"/>
      <c r="AC268" s="6"/>
      <c r="AD268" s="6"/>
      <c r="AE268" s="6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8"/>
      <c r="AR268" s="9" t="str">
        <f aca="false">IFERROR(VLOOKUP($X268,Lotes!$A:$E,5,FALSE())*$U268,"")</f>
        <v/>
      </c>
      <c r="AS268" s="9" t="n">
        <f aca="false">IF($L268="","",$L268*2.6)</f>
        <v>0</v>
      </c>
      <c r="AT268" s="9"/>
      <c r="AU268" s="9" t="n">
        <v>0</v>
      </c>
      <c r="AV268" s="9" t="n">
        <v>0</v>
      </c>
      <c r="AW268" s="9" t="n">
        <v>0</v>
      </c>
      <c r="AX268" s="7" t="s">
        <v>159</v>
      </c>
      <c r="AY268" s="7" t="s">
        <v>160</v>
      </c>
      <c r="AZ268" s="7"/>
      <c r="BA268" s="7" t="s">
        <v>1752</v>
      </c>
      <c r="BB268" s="7" t="s">
        <v>1753</v>
      </c>
      <c r="BC268" s="11" t="s">
        <v>1754</v>
      </c>
      <c r="BD268" s="7" t="s">
        <v>98</v>
      </c>
      <c r="BE268" s="11" t="s">
        <v>1749</v>
      </c>
    </row>
    <row r="269" customFormat="false" ht="68.65" hidden="false" customHeight="false" outlineLevel="0" collapsed="false">
      <c r="A269" s="6" t="n">
        <v>268</v>
      </c>
      <c r="B269" s="7" t="s">
        <v>1727</v>
      </c>
      <c r="C269" s="7" t="s">
        <v>1755</v>
      </c>
      <c r="D269" s="8"/>
      <c r="E269" s="7" t="s">
        <v>172</v>
      </c>
      <c r="F269" s="7" t="s">
        <v>270</v>
      </c>
      <c r="G269" s="6" t="n">
        <v>1</v>
      </c>
      <c r="H269" s="7" t="s">
        <v>681</v>
      </c>
      <c r="I269" s="7"/>
      <c r="J269" s="7"/>
      <c r="K269" s="7" t="s">
        <v>88</v>
      </c>
      <c r="L269" s="9" t="n">
        <v>0</v>
      </c>
      <c r="M269" s="9"/>
      <c r="N269" s="9"/>
      <c r="O269" s="7" t="s">
        <v>154</v>
      </c>
      <c r="P269" s="7" t="s">
        <v>89</v>
      </c>
      <c r="Q269" s="7"/>
      <c r="R269" s="7" t="s">
        <v>1756</v>
      </c>
      <c r="S269" s="7" t="s">
        <v>1722</v>
      </c>
      <c r="T269" s="7"/>
      <c r="U269" s="10"/>
      <c r="V269" s="7"/>
      <c r="W269" s="7"/>
      <c r="X269" s="7"/>
      <c r="Y269" s="7"/>
      <c r="Z269" s="7"/>
      <c r="AA269" s="7"/>
      <c r="AB269" s="8"/>
      <c r="AC269" s="6"/>
      <c r="AD269" s="6"/>
      <c r="AE269" s="6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8"/>
      <c r="AR269" s="9" t="str">
        <f aca="false">IFERROR(VLOOKUP($X269,Lotes!$A:$E,5,FALSE())*$U269,"")</f>
        <v/>
      </c>
      <c r="AS269" s="9" t="n">
        <f aca="false">IF($L269="","",$L269*2.6)</f>
        <v>0</v>
      </c>
      <c r="AT269" s="9"/>
      <c r="AU269" s="9" t="n">
        <v>0</v>
      </c>
      <c r="AV269" s="9" t="n">
        <v>0</v>
      </c>
      <c r="AW269" s="9" t="n">
        <v>0</v>
      </c>
      <c r="AX269" s="7" t="s">
        <v>159</v>
      </c>
      <c r="AY269" s="7" t="s">
        <v>160</v>
      </c>
      <c r="AZ269" s="7"/>
      <c r="BA269" s="7" t="s">
        <v>1757</v>
      </c>
      <c r="BB269" s="7" t="s">
        <v>1758</v>
      </c>
      <c r="BC269" s="11" t="s">
        <v>1759</v>
      </c>
      <c r="BD269" s="7" t="s">
        <v>98</v>
      </c>
      <c r="BE269" s="11" t="s">
        <v>1749</v>
      </c>
    </row>
    <row r="270" customFormat="false" ht="68.65" hidden="false" customHeight="false" outlineLevel="0" collapsed="false">
      <c r="A270" s="6" t="n">
        <v>269</v>
      </c>
      <c r="B270" s="7" t="s">
        <v>1727</v>
      </c>
      <c r="C270" s="7" t="s">
        <v>1760</v>
      </c>
      <c r="D270" s="8" t="n">
        <v>0.51</v>
      </c>
      <c r="E270" s="7" t="s">
        <v>386</v>
      </c>
      <c r="F270" s="7" t="s">
        <v>311</v>
      </c>
      <c r="G270" s="6" t="n">
        <v>1</v>
      </c>
      <c r="H270" s="7" t="s">
        <v>87</v>
      </c>
      <c r="I270" s="7" t="s">
        <v>271</v>
      </c>
      <c r="J270" s="7" t="s">
        <v>1761</v>
      </c>
      <c r="K270" s="7" t="s">
        <v>88</v>
      </c>
      <c r="L270" s="9" t="n">
        <v>0</v>
      </c>
      <c r="M270" s="9"/>
      <c r="N270" s="9"/>
      <c r="O270" s="7" t="s">
        <v>154</v>
      </c>
      <c r="P270" s="7" t="s">
        <v>89</v>
      </c>
      <c r="Q270" s="7"/>
      <c r="R270" s="7" t="s">
        <v>1762</v>
      </c>
      <c r="S270" s="7" t="s">
        <v>1722</v>
      </c>
      <c r="T270" s="7"/>
      <c r="U270" s="10"/>
      <c r="V270" s="7"/>
      <c r="W270" s="7"/>
      <c r="X270" s="7"/>
      <c r="Y270" s="7"/>
      <c r="Z270" s="7"/>
      <c r="AA270" s="7"/>
      <c r="AB270" s="8"/>
      <c r="AC270" s="6"/>
      <c r="AD270" s="6"/>
      <c r="AE270" s="6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8"/>
      <c r="AR270" s="9" t="str">
        <f aca="false">IFERROR(VLOOKUP($X270,Lotes!$A:$E,5,FALSE())*$U270,"")</f>
        <v/>
      </c>
      <c r="AS270" s="9" t="n">
        <f aca="false">IF($L270="","",$L270*2.6)</f>
        <v>0</v>
      </c>
      <c r="AT270" s="9"/>
      <c r="AU270" s="9" t="n">
        <v>0</v>
      </c>
      <c r="AV270" s="9" t="n">
        <v>0</v>
      </c>
      <c r="AW270" s="9" t="n">
        <v>0</v>
      </c>
      <c r="AX270" s="7" t="s">
        <v>159</v>
      </c>
      <c r="AY270" s="7" t="s">
        <v>1063</v>
      </c>
      <c r="AZ270" s="7"/>
      <c r="BA270" s="7" t="s">
        <v>1763</v>
      </c>
      <c r="BB270" s="7" t="s">
        <v>1764</v>
      </c>
      <c r="BC270" s="11" t="s">
        <v>1765</v>
      </c>
      <c r="BD270" s="7" t="s">
        <v>98</v>
      </c>
      <c r="BE270" s="11" t="s">
        <v>1749</v>
      </c>
    </row>
    <row r="271" customFormat="false" ht="68.65" hidden="false" customHeight="false" outlineLevel="0" collapsed="false">
      <c r="A271" s="6" t="n">
        <v>270</v>
      </c>
      <c r="B271" s="7" t="s">
        <v>1727</v>
      </c>
      <c r="C271" s="7" t="s">
        <v>1766</v>
      </c>
      <c r="D271" s="8"/>
      <c r="E271" s="7" t="s">
        <v>172</v>
      </c>
      <c r="F271" s="7" t="s">
        <v>270</v>
      </c>
      <c r="G271" s="6" t="n">
        <v>1</v>
      </c>
      <c r="H271" s="7" t="s">
        <v>681</v>
      </c>
      <c r="I271" s="7"/>
      <c r="J271" s="7"/>
      <c r="K271" s="7" t="s">
        <v>88</v>
      </c>
      <c r="L271" s="9" t="n">
        <v>0</v>
      </c>
      <c r="M271" s="9"/>
      <c r="N271" s="9"/>
      <c r="O271" s="7" t="s">
        <v>154</v>
      </c>
      <c r="P271" s="7" t="s">
        <v>89</v>
      </c>
      <c r="Q271" s="7"/>
      <c r="R271" s="7" t="s">
        <v>1767</v>
      </c>
      <c r="S271" s="7" t="s">
        <v>1722</v>
      </c>
      <c r="T271" s="7"/>
      <c r="U271" s="10"/>
      <c r="V271" s="7"/>
      <c r="W271" s="7"/>
      <c r="X271" s="7"/>
      <c r="Y271" s="7"/>
      <c r="Z271" s="7"/>
      <c r="AA271" s="7"/>
      <c r="AB271" s="8"/>
      <c r="AC271" s="6"/>
      <c r="AD271" s="6"/>
      <c r="AE271" s="6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8"/>
      <c r="AR271" s="9" t="str">
        <f aca="false">IFERROR(VLOOKUP($X271,Lotes!$A:$E,5,FALSE())*$U271,"")</f>
        <v/>
      </c>
      <c r="AS271" s="9" t="n">
        <f aca="false">IF($L271="","",$L271*2.6)</f>
        <v>0</v>
      </c>
      <c r="AT271" s="9"/>
      <c r="AU271" s="9" t="n">
        <v>0</v>
      </c>
      <c r="AV271" s="9" t="n">
        <v>0</v>
      </c>
      <c r="AW271" s="9" t="n">
        <v>0</v>
      </c>
      <c r="AX271" s="7" t="s">
        <v>159</v>
      </c>
      <c r="AY271" s="7" t="s">
        <v>1063</v>
      </c>
      <c r="AZ271" s="7"/>
      <c r="BA271" s="7" t="s">
        <v>1768</v>
      </c>
      <c r="BB271" s="7" t="s">
        <v>1769</v>
      </c>
      <c r="BC271" s="11" t="s">
        <v>1770</v>
      </c>
      <c r="BD271" s="7" t="s">
        <v>98</v>
      </c>
      <c r="BE271" s="11" t="s">
        <v>1749</v>
      </c>
    </row>
    <row r="272" customFormat="false" ht="46.25" hidden="false" customHeight="false" outlineLevel="0" collapsed="false">
      <c r="A272" s="6" t="n">
        <v>271</v>
      </c>
      <c r="B272" s="7" t="s">
        <v>1727</v>
      </c>
      <c r="C272" s="7" t="s">
        <v>1771</v>
      </c>
      <c r="D272" s="8" t="n">
        <v>0.48</v>
      </c>
      <c r="E272" s="7" t="s">
        <v>172</v>
      </c>
      <c r="F272" s="7" t="s">
        <v>86</v>
      </c>
      <c r="G272" s="6" t="n">
        <v>1</v>
      </c>
      <c r="H272" s="7"/>
      <c r="I272" s="7"/>
      <c r="J272" s="7"/>
      <c r="K272" s="7" t="s">
        <v>88</v>
      </c>
      <c r="L272" s="9" t="n">
        <v>292800</v>
      </c>
      <c r="M272" s="9"/>
      <c r="N272" s="9"/>
      <c r="O272" s="7" t="s">
        <v>41</v>
      </c>
      <c r="P272" s="7" t="s">
        <v>1772</v>
      </c>
      <c r="Q272" s="7" t="s">
        <v>155</v>
      </c>
      <c r="R272" s="7" t="s">
        <v>1773</v>
      </c>
      <c r="S272" s="7" t="s">
        <v>1722</v>
      </c>
      <c r="T272" s="7"/>
      <c r="U272" s="10"/>
      <c r="V272" s="7"/>
      <c r="W272" s="7"/>
      <c r="X272" s="7"/>
      <c r="Y272" s="7"/>
      <c r="Z272" s="7"/>
      <c r="AA272" s="7"/>
      <c r="AB272" s="8"/>
      <c r="AC272" s="6"/>
      <c r="AD272" s="6"/>
      <c r="AE272" s="6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8"/>
      <c r="AR272" s="9" t="str">
        <f aca="false">IFERROR(VLOOKUP($X272,Lotes!$A:$E,5,FALSE())*$U272,"")</f>
        <v/>
      </c>
      <c r="AS272" s="9" t="n">
        <f aca="false">IF($L272="","",$L272*2.6)</f>
        <v>761280</v>
      </c>
      <c r="AT272" s="9"/>
      <c r="AU272" s="9" t="n">
        <v>878400</v>
      </c>
      <c r="AV272" s="9" t="n">
        <v>878400</v>
      </c>
      <c r="AW272" s="9" t="n">
        <v>400</v>
      </c>
      <c r="AX272" s="7" t="s">
        <v>218</v>
      </c>
      <c r="AY272" s="7" t="s">
        <v>94</v>
      </c>
      <c r="AZ272" s="7"/>
      <c r="BA272" s="7" t="s">
        <v>1774</v>
      </c>
      <c r="BB272" s="7" t="s">
        <v>1775</v>
      </c>
      <c r="BC272" s="11" t="s">
        <v>1776</v>
      </c>
      <c r="BD272" s="7" t="s">
        <v>98</v>
      </c>
      <c r="BE272" s="11" t="s">
        <v>1777</v>
      </c>
    </row>
    <row r="273" customFormat="false" ht="68.65" hidden="false" customHeight="false" outlineLevel="0" collapsed="false">
      <c r="A273" s="6" t="n">
        <v>272</v>
      </c>
      <c r="B273" s="7" t="s">
        <v>1727</v>
      </c>
      <c r="C273" s="7" t="s">
        <v>1778</v>
      </c>
      <c r="D273" s="8" t="n">
        <v>0.24</v>
      </c>
      <c r="E273" s="7" t="s">
        <v>172</v>
      </c>
      <c r="F273" s="7" t="s">
        <v>86</v>
      </c>
      <c r="G273" s="6" t="n">
        <v>1</v>
      </c>
      <c r="H273" s="7"/>
      <c r="I273" s="7"/>
      <c r="J273" s="7"/>
      <c r="K273" s="7" t="s">
        <v>88</v>
      </c>
      <c r="L273" s="9" t="n">
        <v>146400</v>
      </c>
      <c r="M273" s="9"/>
      <c r="N273" s="9"/>
      <c r="O273" s="7" t="s">
        <v>41</v>
      </c>
      <c r="P273" s="7" t="s">
        <v>1707</v>
      </c>
      <c r="Q273" s="7" t="s">
        <v>90</v>
      </c>
      <c r="R273" s="7" t="s">
        <v>1779</v>
      </c>
      <c r="S273" s="7" t="s">
        <v>1219</v>
      </c>
      <c r="T273" s="7" t="s">
        <v>93</v>
      </c>
      <c r="U273" s="10"/>
      <c r="V273" s="7"/>
      <c r="W273" s="7"/>
      <c r="X273" s="7" t="s">
        <v>1780</v>
      </c>
      <c r="Y273" s="7"/>
      <c r="Z273" s="7"/>
      <c r="AA273" s="7"/>
      <c r="AB273" s="8"/>
      <c r="AC273" s="6"/>
      <c r="AD273" s="6"/>
      <c r="AE273" s="6"/>
      <c r="AF273" s="7" t="s">
        <v>583</v>
      </c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8"/>
      <c r="AR273" s="9" t="n">
        <f aca="false">IFERROR(VLOOKUP($X273,Lotes!$A:$E,5,FALSE())*$U273,"")</f>
        <v>0</v>
      </c>
      <c r="AS273" s="9" t="n">
        <f aca="false">IF($L273="","",$L273*2.6)</f>
        <v>380640</v>
      </c>
      <c r="AT273" s="9" t="n">
        <v>2562084.034</v>
      </c>
      <c r="AU273" s="9" t="n">
        <v>439200</v>
      </c>
      <c r="AV273" s="9" t="n">
        <v>292068</v>
      </c>
      <c r="AW273" s="9" t="n">
        <v>0</v>
      </c>
      <c r="AX273" s="7" t="s">
        <v>990</v>
      </c>
      <c r="AY273" s="7" t="s">
        <v>94</v>
      </c>
      <c r="AZ273" s="7"/>
      <c r="BA273" s="7" t="s">
        <v>1781</v>
      </c>
      <c r="BB273" s="7" t="s">
        <v>1782</v>
      </c>
      <c r="BC273" s="11" t="s">
        <v>1783</v>
      </c>
      <c r="BD273" s="7" t="s">
        <v>164</v>
      </c>
      <c r="BE273" s="11" t="s">
        <v>1784</v>
      </c>
    </row>
    <row r="274" customFormat="false" ht="68.65" hidden="false" customHeight="false" outlineLevel="0" collapsed="false">
      <c r="A274" s="6" t="n">
        <v>273</v>
      </c>
      <c r="B274" s="7" t="s">
        <v>1727</v>
      </c>
      <c r="C274" s="7" t="s">
        <v>1785</v>
      </c>
      <c r="D274" s="8"/>
      <c r="E274" s="7" t="s">
        <v>172</v>
      </c>
      <c r="F274" s="7" t="s">
        <v>86</v>
      </c>
      <c r="G274" s="6" t="n">
        <v>1</v>
      </c>
      <c r="H274" s="7"/>
      <c r="I274" s="7"/>
      <c r="J274" s="7"/>
      <c r="K274" s="7" t="s">
        <v>88</v>
      </c>
      <c r="L274" s="9" t="n">
        <v>0</v>
      </c>
      <c r="M274" s="9"/>
      <c r="N274" s="9"/>
      <c r="O274" s="7" t="s">
        <v>154</v>
      </c>
      <c r="P274" s="7" t="s">
        <v>89</v>
      </c>
      <c r="Q274" s="7"/>
      <c r="R274" s="7" t="s">
        <v>1786</v>
      </c>
      <c r="S274" s="7" t="s">
        <v>1722</v>
      </c>
      <c r="T274" s="7"/>
      <c r="U274" s="10"/>
      <c r="V274" s="7"/>
      <c r="W274" s="7"/>
      <c r="X274" s="7"/>
      <c r="Y274" s="7"/>
      <c r="Z274" s="7"/>
      <c r="AA274" s="7"/>
      <c r="AB274" s="8"/>
      <c r="AC274" s="6"/>
      <c r="AD274" s="6"/>
      <c r="AE274" s="6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8"/>
      <c r="AR274" s="9" t="str">
        <f aca="false">IFERROR(VLOOKUP($X274,Lotes!$A:$E,5,FALSE())*$U274,"")</f>
        <v/>
      </c>
      <c r="AS274" s="9" t="n">
        <f aca="false">IF($L274="","",$L274*2.6)</f>
        <v>0</v>
      </c>
      <c r="AT274" s="9"/>
      <c r="AU274" s="9" t="n">
        <v>0</v>
      </c>
      <c r="AV274" s="9" t="n">
        <v>0</v>
      </c>
      <c r="AW274" s="9" t="n">
        <v>0</v>
      </c>
      <c r="AX274" s="7" t="s">
        <v>159</v>
      </c>
      <c r="AY274" s="7" t="s">
        <v>160</v>
      </c>
      <c r="AZ274" s="7"/>
      <c r="BA274" s="7" t="s">
        <v>1787</v>
      </c>
      <c r="BB274" s="7" t="s">
        <v>1788</v>
      </c>
      <c r="BC274" s="11" t="s">
        <v>1789</v>
      </c>
      <c r="BD274" s="7" t="s">
        <v>98</v>
      </c>
      <c r="BE274" s="11" t="s">
        <v>1749</v>
      </c>
    </row>
    <row r="275" customFormat="false" ht="68.65" hidden="false" customHeight="false" outlineLevel="0" collapsed="false">
      <c r="A275" s="6" t="n">
        <v>274</v>
      </c>
      <c r="B275" s="7" t="s">
        <v>1727</v>
      </c>
      <c r="C275" s="7" t="s">
        <v>1790</v>
      </c>
      <c r="D275" s="8" t="n">
        <v>0.53</v>
      </c>
      <c r="E275" s="7"/>
      <c r="F275" s="7" t="s">
        <v>86</v>
      </c>
      <c r="G275" s="6" t="n">
        <v>1</v>
      </c>
      <c r="H275" s="7" t="s">
        <v>87</v>
      </c>
      <c r="I275" s="7"/>
      <c r="J275" s="7"/>
      <c r="K275" s="7" t="s">
        <v>88</v>
      </c>
      <c r="L275" s="9" t="n">
        <v>324000</v>
      </c>
      <c r="M275" s="9"/>
      <c r="N275" s="9"/>
      <c r="O275" s="7" t="s">
        <v>154</v>
      </c>
      <c r="P275" s="7" t="s">
        <v>89</v>
      </c>
      <c r="Q275" s="7" t="s">
        <v>155</v>
      </c>
      <c r="R275" s="7" t="s">
        <v>1791</v>
      </c>
      <c r="S275" s="7" t="s">
        <v>1722</v>
      </c>
      <c r="T275" s="7"/>
      <c r="U275" s="10"/>
      <c r="V275" s="7"/>
      <c r="W275" s="7"/>
      <c r="X275" s="7" t="s">
        <v>674</v>
      </c>
      <c r="Y275" s="7"/>
      <c r="Z275" s="7"/>
      <c r="AA275" s="7"/>
      <c r="AB275" s="8"/>
      <c r="AC275" s="6"/>
      <c r="AD275" s="6"/>
      <c r="AE275" s="6"/>
      <c r="AF275" s="7" t="s">
        <v>583</v>
      </c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8"/>
      <c r="AR275" s="9" t="n">
        <f aca="false">IFERROR(VLOOKUP($X275,Lotes!$A:$E,5,FALSE())*$U275,"")</f>
        <v>0</v>
      </c>
      <c r="AS275" s="9" t="n">
        <f aca="false">IF($L275="","",$L275*2.6)</f>
        <v>842400</v>
      </c>
      <c r="AT275" s="9"/>
      <c r="AU275" s="9" t="n">
        <v>972000</v>
      </c>
      <c r="AV275" s="9" t="n">
        <v>972000</v>
      </c>
      <c r="AW275" s="9" t="n">
        <v>972000</v>
      </c>
      <c r="AX275" s="7" t="s">
        <v>159</v>
      </c>
      <c r="AY275" s="7" t="s">
        <v>160</v>
      </c>
      <c r="AZ275" s="7"/>
      <c r="BA275" s="7" t="s">
        <v>1792</v>
      </c>
      <c r="BB275" s="7" t="s">
        <v>1793</v>
      </c>
      <c r="BC275" s="11" t="s">
        <v>1794</v>
      </c>
      <c r="BD275" s="7" t="s">
        <v>164</v>
      </c>
      <c r="BE275" s="11" t="s">
        <v>1555</v>
      </c>
    </row>
    <row r="276" customFormat="false" ht="68.65" hidden="false" customHeight="false" outlineLevel="0" collapsed="false">
      <c r="A276" s="6" t="n">
        <v>275</v>
      </c>
      <c r="B276" s="7" t="s">
        <v>1727</v>
      </c>
      <c r="C276" s="7" t="s">
        <v>1795</v>
      </c>
      <c r="D276" s="8"/>
      <c r="E276" s="7" t="s">
        <v>172</v>
      </c>
      <c r="F276" s="7" t="s">
        <v>86</v>
      </c>
      <c r="G276" s="6" t="n">
        <v>1</v>
      </c>
      <c r="H276" s="7"/>
      <c r="I276" s="7"/>
      <c r="J276" s="7"/>
      <c r="K276" s="7" t="s">
        <v>88</v>
      </c>
      <c r="L276" s="9" t="n">
        <v>0</v>
      </c>
      <c r="M276" s="9"/>
      <c r="N276" s="9"/>
      <c r="O276" s="7" t="s">
        <v>154</v>
      </c>
      <c r="P276" s="7" t="s">
        <v>89</v>
      </c>
      <c r="Q276" s="7"/>
      <c r="R276" s="7" t="s">
        <v>1796</v>
      </c>
      <c r="S276" s="7" t="s">
        <v>1722</v>
      </c>
      <c r="T276" s="7"/>
      <c r="U276" s="10"/>
      <c r="V276" s="7"/>
      <c r="W276" s="7"/>
      <c r="X276" s="7"/>
      <c r="Y276" s="7"/>
      <c r="Z276" s="7"/>
      <c r="AA276" s="7"/>
      <c r="AB276" s="8"/>
      <c r="AC276" s="6"/>
      <c r="AD276" s="6"/>
      <c r="AE276" s="6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8"/>
      <c r="AR276" s="9" t="str">
        <f aca="false">IFERROR(VLOOKUP($X276,Lotes!$A:$E,5,FALSE())*$U276,"")</f>
        <v/>
      </c>
      <c r="AS276" s="9" t="n">
        <f aca="false">IF($L276="","",$L276*2.6)</f>
        <v>0</v>
      </c>
      <c r="AT276" s="9"/>
      <c r="AU276" s="9" t="n">
        <v>0</v>
      </c>
      <c r="AV276" s="9" t="n">
        <v>0</v>
      </c>
      <c r="AW276" s="9" t="n">
        <v>0</v>
      </c>
      <c r="AX276" s="7" t="s">
        <v>159</v>
      </c>
      <c r="AY276" s="7" t="s">
        <v>160</v>
      </c>
      <c r="AZ276" s="7"/>
      <c r="BA276" s="7" t="s">
        <v>1797</v>
      </c>
      <c r="BB276" s="7" t="s">
        <v>1798</v>
      </c>
      <c r="BC276" s="11" t="s">
        <v>1799</v>
      </c>
      <c r="BD276" s="7" t="s">
        <v>98</v>
      </c>
      <c r="BE276" s="11" t="s">
        <v>1749</v>
      </c>
    </row>
    <row r="277" customFormat="false" ht="91" hidden="false" customHeight="false" outlineLevel="0" collapsed="false">
      <c r="A277" s="6" t="n">
        <v>276</v>
      </c>
      <c r="B277" s="7" t="s">
        <v>1727</v>
      </c>
      <c r="C277" s="7" t="s">
        <v>1800</v>
      </c>
      <c r="D277" s="8" t="n">
        <v>0.28</v>
      </c>
      <c r="E277" s="7" t="s">
        <v>245</v>
      </c>
      <c r="F277" s="7" t="s">
        <v>86</v>
      </c>
      <c r="G277" s="6" t="n">
        <v>1</v>
      </c>
      <c r="H277" s="7" t="s">
        <v>124</v>
      </c>
      <c r="I277" s="7" t="s">
        <v>271</v>
      </c>
      <c r="J277" s="7" t="s">
        <v>1801</v>
      </c>
      <c r="K277" s="7" t="s">
        <v>88</v>
      </c>
      <c r="L277" s="9" t="n">
        <v>0</v>
      </c>
      <c r="M277" s="9"/>
      <c r="N277" s="9"/>
      <c r="O277" s="7" t="s">
        <v>154</v>
      </c>
      <c r="P277" s="7" t="s">
        <v>89</v>
      </c>
      <c r="Q277" s="7" t="s">
        <v>155</v>
      </c>
      <c r="R277" s="7" t="s">
        <v>1802</v>
      </c>
      <c r="S277" s="7" t="s">
        <v>1722</v>
      </c>
      <c r="T277" s="7"/>
      <c r="U277" s="10"/>
      <c r="V277" s="7"/>
      <c r="W277" s="7"/>
      <c r="X277" s="7" t="s">
        <v>674</v>
      </c>
      <c r="Y277" s="7"/>
      <c r="Z277" s="7"/>
      <c r="AA277" s="7"/>
      <c r="AB277" s="8"/>
      <c r="AC277" s="6"/>
      <c r="AD277" s="6"/>
      <c r="AE277" s="6"/>
      <c r="AF277" s="7" t="s">
        <v>583</v>
      </c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8"/>
      <c r="AR277" s="9" t="n">
        <f aca="false">IFERROR(VLOOKUP($X277,Lotes!$A:$E,5,FALSE())*$U277,"")</f>
        <v>0</v>
      </c>
      <c r="AS277" s="9" t="n">
        <f aca="false">IF($L277="","",$L277*2.6)</f>
        <v>0</v>
      </c>
      <c r="AT277" s="9"/>
      <c r="AU277" s="9" t="n">
        <v>0</v>
      </c>
      <c r="AV277" s="9" t="n">
        <v>0</v>
      </c>
      <c r="AW277" s="9" t="n">
        <v>0</v>
      </c>
      <c r="AX277" s="7" t="s">
        <v>159</v>
      </c>
      <c r="AY277" s="7" t="s">
        <v>160</v>
      </c>
      <c r="AZ277" s="7"/>
      <c r="BA277" s="7" t="s">
        <v>1803</v>
      </c>
      <c r="BB277" s="7" t="s">
        <v>1804</v>
      </c>
      <c r="BC277" s="11" t="s">
        <v>1805</v>
      </c>
      <c r="BD277" s="7" t="s">
        <v>164</v>
      </c>
      <c r="BE277" s="11" t="s">
        <v>1806</v>
      </c>
    </row>
    <row r="278" customFormat="false" ht="68.65" hidden="false" customHeight="false" outlineLevel="0" collapsed="false">
      <c r="A278" s="6" t="n">
        <v>277</v>
      </c>
      <c r="B278" s="7" t="s">
        <v>1727</v>
      </c>
      <c r="C278" s="7" t="s">
        <v>1807</v>
      </c>
      <c r="D278" s="8"/>
      <c r="E278" s="7" t="s">
        <v>172</v>
      </c>
      <c r="F278" s="7" t="s">
        <v>86</v>
      </c>
      <c r="G278" s="6" t="n">
        <v>1</v>
      </c>
      <c r="H278" s="7"/>
      <c r="I278" s="7"/>
      <c r="J278" s="7"/>
      <c r="K278" s="7" t="s">
        <v>88</v>
      </c>
      <c r="L278" s="9" t="n">
        <v>0</v>
      </c>
      <c r="M278" s="9"/>
      <c r="N278" s="9"/>
      <c r="O278" s="7" t="s">
        <v>154</v>
      </c>
      <c r="P278" s="7" t="s">
        <v>89</v>
      </c>
      <c r="Q278" s="7"/>
      <c r="R278" s="7" t="s">
        <v>1808</v>
      </c>
      <c r="S278" s="7" t="s">
        <v>1722</v>
      </c>
      <c r="T278" s="7"/>
      <c r="U278" s="10"/>
      <c r="V278" s="7"/>
      <c r="W278" s="7"/>
      <c r="X278" s="7"/>
      <c r="Y278" s="7"/>
      <c r="Z278" s="7"/>
      <c r="AA278" s="7"/>
      <c r="AB278" s="8"/>
      <c r="AC278" s="6"/>
      <c r="AD278" s="6"/>
      <c r="AE278" s="6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8"/>
      <c r="AR278" s="9" t="str">
        <f aca="false">IFERROR(VLOOKUP($X278,Lotes!$A:$E,5,FALSE())*$U278,"")</f>
        <v/>
      </c>
      <c r="AS278" s="9" t="n">
        <f aca="false">IF($L278="","",$L278*2.6)</f>
        <v>0</v>
      </c>
      <c r="AT278" s="9"/>
      <c r="AU278" s="9" t="n">
        <v>0</v>
      </c>
      <c r="AV278" s="9" t="n">
        <v>0</v>
      </c>
      <c r="AW278" s="9" t="n">
        <v>0</v>
      </c>
      <c r="AX278" s="7" t="s">
        <v>159</v>
      </c>
      <c r="AY278" s="7" t="s">
        <v>160</v>
      </c>
      <c r="AZ278" s="7"/>
      <c r="BA278" s="7" t="s">
        <v>1809</v>
      </c>
      <c r="BB278" s="7" t="s">
        <v>1810</v>
      </c>
      <c r="BC278" s="11" t="s">
        <v>1811</v>
      </c>
      <c r="BD278" s="7" t="s">
        <v>98</v>
      </c>
      <c r="BE278" s="11" t="s">
        <v>1749</v>
      </c>
    </row>
    <row r="279" customFormat="false" ht="79.85" hidden="false" customHeight="false" outlineLevel="0" collapsed="false">
      <c r="A279" s="6" t="n">
        <v>278</v>
      </c>
      <c r="B279" s="7" t="s">
        <v>1727</v>
      </c>
      <c r="C279" s="7" t="s">
        <v>1812</v>
      </c>
      <c r="D279" s="8" t="n">
        <v>0.25</v>
      </c>
      <c r="E279" s="7" t="s">
        <v>172</v>
      </c>
      <c r="F279" s="7" t="s">
        <v>86</v>
      </c>
      <c r="G279" s="6" t="n">
        <v>1</v>
      </c>
      <c r="H279" s="7" t="s">
        <v>200</v>
      </c>
      <c r="I279" s="7" t="s">
        <v>271</v>
      </c>
      <c r="J279" s="7" t="s">
        <v>1813</v>
      </c>
      <c r="K279" s="7" t="s">
        <v>88</v>
      </c>
      <c r="L279" s="9" t="n">
        <v>153000</v>
      </c>
      <c r="M279" s="9"/>
      <c r="N279" s="9"/>
      <c r="O279" s="7" t="s">
        <v>154</v>
      </c>
      <c r="P279" s="7" t="s">
        <v>1730</v>
      </c>
      <c r="Q279" s="7" t="s">
        <v>90</v>
      </c>
      <c r="R279" s="7" t="s">
        <v>1814</v>
      </c>
      <c r="S279" s="7" t="s">
        <v>1722</v>
      </c>
      <c r="T279" s="7"/>
      <c r="U279" s="10"/>
      <c r="V279" s="7"/>
      <c r="W279" s="7"/>
      <c r="X279" s="7" t="s">
        <v>674</v>
      </c>
      <c r="Y279" s="7"/>
      <c r="Z279" s="7"/>
      <c r="AA279" s="7"/>
      <c r="AB279" s="8"/>
      <c r="AC279" s="6"/>
      <c r="AD279" s="6"/>
      <c r="AE279" s="6"/>
      <c r="AF279" s="7" t="s">
        <v>583</v>
      </c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8"/>
      <c r="AR279" s="9" t="n">
        <f aca="false">IFERROR(VLOOKUP($X279,Lotes!$A:$E,5,FALSE())*$U279,"")</f>
        <v>0</v>
      </c>
      <c r="AS279" s="9" t="n">
        <f aca="false">IF($L279="","",$L279*2.6)</f>
        <v>397800</v>
      </c>
      <c r="AT279" s="9"/>
      <c r="AU279" s="9" t="n">
        <v>459000</v>
      </c>
      <c r="AV279" s="9" t="n">
        <v>459000</v>
      </c>
      <c r="AW279" s="9" t="n">
        <v>459000</v>
      </c>
      <c r="AX279" s="7" t="s">
        <v>159</v>
      </c>
      <c r="AY279" s="7" t="s">
        <v>160</v>
      </c>
      <c r="AZ279" s="7"/>
      <c r="BA279" s="7" t="s">
        <v>1815</v>
      </c>
      <c r="BB279" s="7" t="s">
        <v>1816</v>
      </c>
      <c r="BC279" s="11" t="s">
        <v>1817</v>
      </c>
      <c r="BD279" s="7" t="s">
        <v>164</v>
      </c>
      <c r="BE279" s="11" t="s">
        <v>1818</v>
      </c>
    </row>
    <row r="280" customFormat="false" ht="68.65" hidden="false" customHeight="false" outlineLevel="0" collapsed="false">
      <c r="A280" s="6" t="n">
        <v>279</v>
      </c>
      <c r="B280" s="7" t="s">
        <v>1727</v>
      </c>
      <c r="C280" s="7" t="s">
        <v>1819</v>
      </c>
      <c r="D280" s="8"/>
      <c r="E280" s="7" t="s">
        <v>172</v>
      </c>
      <c r="F280" s="7" t="s">
        <v>86</v>
      </c>
      <c r="G280" s="6" t="n">
        <v>1</v>
      </c>
      <c r="H280" s="7"/>
      <c r="I280" s="7"/>
      <c r="J280" s="7"/>
      <c r="K280" s="7" t="s">
        <v>88</v>
      </c>
      <c r="L280" s="9" t="n">
        <v>0</v>
      </c>
      <c r="M280" s="9"/>
      <c r="N280" s="9"/>
      <c r="O280" s="7" t="s">
        <v>154</v>
      </c>
      <c r="P280" s="7" t="s">
        <v>89</v>
      </c>
      <c r="Q280" s="7"/>
      <c r="R280" s="7" t="s">
        <v>1820</v>
      </c>
      <c r="S280" s="7" t="s">
        <v>1722</v>
      </c>
      <c r="T280" s="7"/>
      <c r="U280" s="10"/>
      <c r="V280" s="7"/>
      <c r="W280" s="7"/>
      <c r="X280" s="7"/>
      <c r="Y280" s="7"/>
      <c r="Z280" s="7"/>
      <c r="AA280" s="7"/>
      <c r="AB280" s="8"/>
      <c r="AC280" s="6"/>
      <c r="AD280" s="6"/>
      <c r="AE280" s="6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8"/>
      <c r="AR280" s="9" t="str">
        <f aca="false">IFERROR(VLOOKUP($X280,Lotes!$A:$E,5,FALSE())*$U280,"")</f>
        <v/>
      </c>
      <c r="AS280" s="9" t="n">
        <f aca="false">IF($L280="","",$L280*2.6)</f>
        <v>0</v>
      </c>
      <c r="AT280" s="9"/>
      <c r="AU280" s="9" t="n">
        <v>0</v>
      </c>
      <c r="AV280" s="9" t="n">
        <v>0</v>
      </c>
      <c r="AW280" s="9" t="n">
        <v>0</v>
      </c>
      <c r="AX280" s="7" t="s">
        <v>159</v>
      </c>
      <c r="AY280" s="7" t="s">
        <v>160</v>
      </c>
      <c r="AZ280" s="7"/>
      <c r="BA280" s="7" t="s">
        <v>1821</v>
      </c>
      <c r="BB280" s="7" t="s">
        <v>1822</v>
      </c>
      <c r="BC280" s="11" t="s">
        <v>1823</v>
      </c>
      <c r="BD280" s="7" t="s">
        <v>98</v>
      </c>
      <c r="BE280" s="11" t="s">
        <v>1749</v>
      </c>
    </row>
    <row r="281" customFormat="false" ht="46.25" hidden="false" customHeight="false" outlineLevel="0" collapsed="false">
      <c r="A281" s="6" t="n">
        <v>280</v>
      </c>
      <c r="B281" s="7" t="s">
        <v>1727</v>
      </c>
      <c r="C281" s="7" t="s">
        <v>1824</v>
      </c>
      <c r="D281" s="8" t="n">
        <v>0.45</v>
      </c>
      <c r="E281" s="7" t="s">
        <v>172</v>
      </c>
      <c r="F281" s="7" t="s">
        <v>270</v>
      </c>
      <c r="G281" s="6" t="n">
        <v>1</v>
      </c>
      <c r="H281" s="7" t="s">
        <v>200</v>
      </c>
      <c r="I281" s="7"/>
      <c r="J281" s="7"/>
      <c r="K281" s="7" t="s">
        <v>88</v>
      </c>
      <c r="L281" s="9" t="n">
        <v>180000</v>
      </c>
      <c r="M281" s="9"/>
      <c r="N281" s="9"/>
      <c r="O281" s="7" t="s">
        <v>154</v>
      </c>
      <c r="P281" s="7" t="s">
        <v>1772</v>
      </c>
      <c r="Q281" s="7" t="s">
        <v>155</v>
      </c>
      <c r="R281" s="7" t="s">
        <v>1825</v>
      </c>
      <c r="S281" s="7" t="s">
        <v>1722</v>
      </c>
      <c r="T281" s="7"/>
      <c r="U281" s="10"/>
      <c r="V281" s="7"/>
      <c r="W281" s="7"/>
      <c r="X281" s="7"/>
      <c r="Y281" s="7"/>
      <c r="Z281" s="7"/>
      <c r="AA281" s="7"/>
      <c r="AB281" s="8"/>
      <c r="AC281" s="6"/>
      <c r="AD281" s="6"/>
      <c r="AE281" s="6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8"/>
      <c r="AR281" s="9" t="str">
        <f aca="false">IFERROR(VLOOKUP($X281,Lotes!$A:$E,5,FALSE())*$U281,"")</f>
        <v/>
      </c>
      <c r="AS281" s="9" t="n">
        <f aca="false">IF($L281="","",$L281*2.6)</f>
        <v>468000</v>
      </c>
      <c r="AT281" s="9"/>
      <c r="AU281" s="9" t="n">
        <v>540000</v>
      </c>
      <c r="AV281" s="9" t="n">
        <v>540000</v>
      </c>
      <c r="AW281" s="9" t="n">
        <v>540000</v>
      </c>
      <c r="AX281" s="7" t="s">
        <v>159</v>
      </c>
      <c r="AY281" s="7" t="s">
        <v>160</v>
      </c>
      <c r="AZ281" s="7"/>
      <c r="BA281" s="7" t="s">
        <v>1826</v>
      </c>
      <c r="BB281" s="7" t="s">
        <v>1827</v>
      </c>
      <c r="BC281" s="11" t="s">
        <v>1828</v>
      </c>
      <c r="BD281" s="7" t="s">
        <v>98</v>
      </c>
      <c r="BE281" s="11" t="s">
        <v>1829</v>
      </c>
    </row>
    <row r="282" customFormat="false" ht="68.65" hidden="false" customHeight="false" outlineLevel="0" collapsed="false">
      <c r="A282" s="6" t="n">
        <v>281</v>
      </c>
      <c r="B282" s="7" t="s">
        <v>1727</v>
      </c>
      <c r="C282" s="7" t="s">
        <v>1830</v>
      </c>
      <c r="D282" s="8"/>
      <c r="E282" s="7" t="s">
        <v>172</v>
      </c>
      <c r="F282" s="7" t="s">
        <v>123</v>
      </c>
      <c r="G282" s="6" t="n">
        <v>1</v>
      </c>
      <c r="H282" s="7"/>
      <c r="I282" s="7"/>
      <c r="J282" s="7"/>
      <c r="K282" s="7" t="s">
        <v>88</v>
      </c>
      <c r="L282" s="9" t="n">
        <v>0</v>
      </c>
      <c r="M282" s="9"/>
      <c r="N282" s="9"/>
      <c r="O282" s="7" t="s">
        <v>154</v>
      </c>
      <c r="P282" s="7" t="s">
        <v>89</v>
      </c>
      <c r="Q282" s="7"/>
      <c r="R282" s="7" t="s">
        <v>1831</v>
      </c>
      <c r="S282" s="7" t="s">
        <v>1722</v>
      </c>
      <c r="T282" s="7"/>
      <c r="U282" s="10"/>
      <c r="V282" s="7"/>
      <c r="W282" s="7"/>
      <c r="X282" s="7"/>
      <c r="Y282" s="7"/>
      <c r="Z282" s="7"/>
      <c r="AA282" s="7"/>
      <c r="AB282" s="8"/>
      <c r="AC282" s="6"/>
      <c r="AD282" s="6"/>
      <c r="AE282" s="6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8"/>
      <c r="AR282" s="9" t="str">
        <f aca="false">IFERROR(VLOOKUP($X282,Lotes!$A:$E,5,FALSE())*$U282,"")</f>
        <v/>
      </c>
      <c r="AS282" s="9" t="n">
        <f aca="false">IF($L282="","",$L282*2.6)</f>
        <v>0</v>
      </c>
      <c r="AT282" s="9"/>
      <c r="AU282" s="9" t="n">
        <v>0</v>
      </c>
      <c r="AV282" s="9" t="n">
        <v>0</v>
      </c>
      <c r="AW282" s="9" t="n">
        <v>0</v>
      </c>
      <c r="AX282" s="7" t="s">
        <v>159</v>
      </c>
      <c r="AY282" s="7" t="s">
        <v>160</v>
      </c>
      <c r="AZ282" s="7"/>
      <c r="BA282" s="7" t="s">
        <v>1832</v>
      </c>
      <c r="BB282" s="7" t="s">
        <v>1833</v>
      </c>
      <c r="BC282" s="11" t="s">
        <v>1834</v>
      </c>
      <c r="BD282" s="7" t="s">
        <v>98</v>
      </c>
      <c r="BE282" s="11" t="s">
        <v>1749</v>
      </c>
    </row>
    <row r="283" customFormat="false" ht="68.65" hidden="false" customHeight="false" outlineLevel="0" collapsed="false">
      <c r="A283" s="6" t="n">
        <v>282</v>
      </c>
      <c r="B283" s="7" t="s">
        <v>1727</v>
      </c>
      <c r="C283" s="7" t="s">
        <v>1835</v>
      </c>
      <c r="D283" s="8"/>
      <c r="E283" s="7" t="s">
        <v>172</v>
      </c>
      <c r="F283" s="7" t="s">
        <v>123</v>
      </c>
      <c r="G283" s="6" t="n">
        <v>1</v>
      </c>
      <c r="H283" s="7"/>
      <c r="I283" s="7"/>
      <c r="J283" s="7"/>
      <c r="K283" s="7" t="s">
        <v>88</v>
      </c>
      <c r="L283" s="9" t="n">
        <v>0</v>
      </c>
      <c r="M283" s="9"/>
      <c r="N283" s="9"/>
      <c r="O283" s="7" t="s">
        <v>154</v>
      </c>
      <c r="P283" s="7" t="s">
        <v>89</v>
      </c>
      <c r="Q283" s="7"/>
      <c r="R283" s="7" t="s">
        <v>1836</v>
      </c>
      <c r="S283" s="7" t="s">
        <v>1722</v>
      </c>
      <c r="T283" s="7"/>
      <c r="U283" s="10"/>
      <c r="V283" s="7"/>
      <c r="W283" s="7"/>
      <c r="X283" s="7"/>
      <c r="Y283" s="7"/>
      <c r="Z283" s="7"/>
      <c r="AA283" s="7"/>
      <c r="AB283" s="8"/>
      <c r="AC283" s="6"/>
      <c r="AD283" s="6"/>
      <c r="AE283" s="6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8"/>
      <c r="AR283" s="9" t="str">
        <f aca="false">IFERROR(VLOOKUP($X283,Lotes!$A:$E,5,FALSE())*$U283,"")</f>
        <v/>
      </c>
      <c r="AS283" s="9" t="n">
        <f aca="false">IF($L283="","",$L283*2.6)</f>
        <v>0</v>
      </c>
      <c r="AT283" s="9"/>
      <c r="AU283" s="9" t="n">
        <v>0</v>
      </c>
      <c r="AV283" s="9" t="n">
        <v>0</v>
      </c>
      <c r="AW283" s="9" t="n">
        <v>0</v>
      </c>
      <c r="AX283" s="7" t="s">
        <v>159</v>
      </c>
      <c r="AY283" s="7" t="s">
        <v>160</v>
      </c>
      <c r="AZ283" s="7"/>
      <c r="BA283" s="7" t="s">
        <v>1837</v>
      </c>
      <c r="BB283" s="7" t="s">
        <v>1838</v>
      </c>
      <c r="BC283" s="11" t="s">
        <v>1839</v>
      </c>
      <c r="BD283" s="7" t="s">
        <v>98</v>
      </c>
      <c r="BE283" s="11" t="s">
        <v>1749</v>
      </c>
    </row>
    <row r="284" customFormat="false" ht="68.65" hidden="false" customHeight="false" outlineLevel="0" collapsed="false">
      <c r="A284" s="6" t="n">
        <v>283</v>
      </c>
      <c r="B284" s="7" t="s">
        <v>1727</v>
      </c>
      <c r="C284" s="7" t="s">
        <v>1840</v>
      </c>
      <c r="D284" s="8" t="n">
        <v>0.45</v>
      </c>
      <c r="E284" s="7" t="s">
        <v>85</v>
      </c>
      <c r="F284" s="7" t="s">
        <v>123</v>
      </c>
      <c r="G284" s="6" t="n">
        <v>1</v>
      </c>
      <c r="H284" s="7" t="s">
        <v>200</v>
      </c>
      <c r="I284" s="7" t="s">
        <v>271</v>
      </c>
      <c r="J284" s="7" t="s">
        <v>1841</v>
      </c>
      <c r="K284" s="7" t="s">
        <v>88</v>
      </c>
      <c r="L284" s="9" t="n">
        <v>180000</v>
      </c>
      <c r="M284" s="9"/>
      <c r="N284" s="9"/>
      <c r="O284" s="7" t="s">
        <v>154</v>
      </c>
      <c r="P284" s="7" t="s">
        <v>89</v>
      </c>
      <c r="Q284" s="7" t="s">
        <v>155</v>
      </c>
      <c r="R284" s="7" t="s">
        <v>1842</v>
      </c>
      <c r="S284" s="7" t="s">
        <v>1722</v>
      </c>
      <c r="T284" s="7"/>
      <c r="U284" s="10"/>
      <c r="V284" s="7"/>
      <c r="W284" s="7"/>
      <c r="X284" s="7" t="s">
        <v>674</v>
      </c>
      <c r="Y284" s="7"/>
      <c r="Z284" s="7"/>
      <c r="AA284" s="7"/>
      <c r="AB284" s="8"/>
      <c r="AC284" s="6"/>
      <c r="AD284" s="6"/>
      <c r="AE284" s="6"/>
      <c r="AF284" s="7" t="s">
        <v>583</v>
      </c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8"/>
      <c r="AR284" s="9" t="n">
        <f aca="false">IFERROR(VLOOKUP($X284,Lotes!$A:$E,5,FALSE())*$U284,"")</f>
        <v>0</v>
      </c>
      <c r="AS284" s="9" t="n">
        <f aca="false">IF($L284="","",$L284*2.6)</f>
        <v>468000</v>
      </c>
      <c r="AT284" s="9"/>
      <c r="AU284" s="9" t="n">
        <v>540000</v>
      </c>
      <c r="AV284" s="9" t="n">
        <v>540000</v>
      </c>
      <c r="AW284" s="9" t="n">
        <v>540000</v>
      </c>
      <c r="AX284" s="7" t="s">
        <v>159</v>
      </c>
      <c r="AY284" s="7" t="s">
        <v>160</v>
      </c>
      <c r="AZ284" s="7"/>
      <c r="BA284" s="7" t="s">
        <v>1843</v>
      </c>
      <c r="BB284" s="7" t="s">
        <v>1844</v>
      </c>
      <c r="BC284" s="11" t="s">
        <v>1845</v>
      </c>
      <c r="BD284" s="7" t="s">
        <v>164</v>
      </c>
      <c r="BE284" s="11" t="s">
        <v>1846</v>
      </c>
    </row>
    <row r="285" customFormat="false" ht="68.65" hidden="false" customHeight="false" outlineLevel="0" collapsed="false">
      <c r="A285" s="6" t="n">
        <v>284</v>
      </c>
      <c r="B285" s="7" t="s">
        <v>1727</v>
      </c>
      <c r="C285" s="7" t="s">
        <v>1847</v>
      </c>
      <c r="D285" s="8"/>
      <c r="E285" s="7" t="s">
        <v>172</v>
      </c>
      <c r="F285" s="7" t="s">
        <v>123</v>
      </c>
      <c r="G285" s="6" t="n">
        <v>1</v>
      </c>
      <c r="H285" s="7"/>
      <c r="I285" s="7"/>
      <c r="J285" s="7"/>
      <c r="K285" s="7" t="s">
        <v>88</v>
      </c>
      <c r="L285" s="9" t="n">
        <v>0</v>
      </c>
      <c r="M285" s="9"/>
      <c r="N285" s="9"/>
      <c r="O285" s="7" t="s">
        <v>154</v>
      </c>
      <c r="P285" s="7" t="s">
        <v>89</v>
      </c>
      <c r="Q285" s="7"/>
      <c r="R285" s="7" t="s">
        <v>1848</v>
      </c>
      <c r="S285" s="7" t="s">
        <v>1722</v>
      </c>
      <c r="T285" s="7"/>
      <c r="U285" s="10"/>
      <c r="V285" s="7"/>
      <c r="W285" s="7"/>
      <c r="X285" s="7"/>
      <c r="Y285" s="7"/>
      <c r="Z285" s="7"/>
      <c r="AA285" s="7"/>
      <c r="AB285" s="8"/>
      <c r="AC285" s="6"/>
      <c r="AD285" s="6"/>
      <c r="AE285" s="6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8"/>
      <c r="AR285" s="9" t="str">
        <f aca="false">IFERROR(VLOOKUP($X285,Lotes!$A:$E,5,FALSE())*$U285,"")</f>
        <v/>
      </c>
      <c r="AS285" s="9" t="n">
        <f aca="false">IF($L285="","",$L285*2.6)</f>
        <v>0</v>
      </c>
      <c r="AT285" s="9"/>
      <c r="AU285" s="9" t="n">
        <v>0</v>
      </c>
      <c r="AV285" s="9" t="n">
        <v>0</v>
      </c>
      <c r="AW285" s="9" t="n">
        <v>0</v>
      </c>
      <c r="AX285" s="7" t="s">
        <v>159</v>
      </c>
      <c r="AY285" s="7" t="s">
        <v>160</v>
      </c>
      <c r="AZ285" s="7"/>
      <c r="BA285" s="7" t="s">
        <v>1849</v>
      </c>
      <c r="BB285" s="7" t="s">
        <v>1850</v>
      </c>
      <c r="BC285" s="11" t="s">
        <v>1851</v>
      </c>
      <c r="BD285" s="7" t="s">
        <v>98</v>
      </c>
      <c r="BE285" s="11" t="s">
        <v>1749</v>
      </c>
    </row>
    <row r="286" customFormat="false" ht="68.65" hidden="false" customHeight="false" outlineLevel="0" collapsed="false">
      <c r="A286" s="6" t="n">
        <v>285</v>
      </c>
      <c r="B286" s="7" t="s">
        <v>1727</v>
      </c>
      <c r="C286" s="7" t="s">
        <v>1852</v>
      </c>
      <c r="D286" s="8"/>
      <c r="E286" s="7" t="s">
        <v>172</v>
      </c>
      <c r="F286" s="7" t="s">
        <v>123</v>
      </c>
      <c r="G286" s="6" t="n">
        <v>1</v>
      </c>
      <c r="H286" s="7"/>
      <c r="I286" s="7"/>
      <c r="J286" s="7"/>
      <c r="K286" s="7" t="s">
        <v>88</v>
      </c>
      <c r="L286" s="9" t="n">
        <v>0</v>
      </c>
      <c r="M286" s="9"/>
      <c r="N286" s="9"/>
      <c r="O286" s="7" t="s">
        <v>154</v>
      </c>
      <c r="P286" s="7" t="s">
        <v>89</v>
      </c>
      <c r="Q286" s="7"/>
      <c r="R286" s="7" t="s">
        <v>1853</v>
      </c>
      <c r="S286" s="7" t="s">
        <v>1722</v>
      </c>
      <c r="T286" s="7"/>
      <c r="U286" s="10"/>
      <c r="V286" s="7"/>
      <c r="W286" s="7"/>
      <c r="X286" s="7"/>
      <c r="Y286" s="7"/>
      <c r="Z286" s="7"/>
      <c r="AA286" s="7"/>
      <c r="AB286" s="8"/>
      <c r="AC286" s="6"/>
      <c r="AD286" s="6"/>
      <c r="AE286" s="6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8"/>
      <c r="AR286" s="9" t="str">
        <f aca="false">IFERROR(VLOOKUP($X286,Lotes!$A:$E,5,FALSE())*$U286,"")</f>
        <v/>
      </c>
      <c r="AS286" s="9" t="n">
        <f aca="false">IF($L286="","",$L286*2.6)</f>
        <v>0</v>
      </c>
      <c r="AT286" s="9"/>
      <c r="AU286" s="9" t="n">
        <v>0</v>
      </c>
      <c r="AV286" s="9" t="n">
        <v>0</v>
      </c>
      <c r="AW286" s="9" t="n">
        <v>0</v>
      </c>
      <c r="AX286" s="7" t="s">
        <v>159</v>
      </c>
      <c r="AY286" s="7" t="s">
        <v>160</v>
      </c>
      <c r="AZ286" s="7"/>
      <c r="BA286" s="7" t="s">
        <v>1854</v>
      </c>
      <c r="BB286" s="7" t="s">
        <v>1855</v>
      </c>
      <c r="BC286" s="11" t="s">
        <v>1856</v>
      </c>
      <c r="BD286" s="7" t="s">
        <v>98</v>
      </c>
      <c r="BE286" s="11" t="s">
        <v>1749</v>
      </c>
    </row>
    <row r="287" customFormat="false" ht="46.25" hidden="false" customHeight="false" outlineLevel="0" collapsed="false">
      <c r="A287" s="6" t="n">
        <v>286</v>
      </c>
      <c r="B287" s="7" t="s">
        <v>1727</v>
      </c>
      <c r="C287" s="7" t="s">
        <v>1857</v>
      </c>
      <c r="D287" s="8" t="n">
        <v>0.18</v>
      </c>
      <c r="E287" s="7" t="s">
        <v>172</v>
      </c>
      <c r="F287" s="7" t="s">
        <v>123</v>
      </c>
      <c r="G287" s="6" t="n">
        <v>1</v>
      </c>
      <c r="H287" s="7" t="s">
        <v>200</v>
      </c>
      <c r="I287" s="7"/>
      <c r="J287" s="7"/>
      <c r="K287" s="7" t="s">
        <v>88</v>
      </c>
      <c r="L287" s="9" t="n">
        <v>72000</v>
      </c>
      <c r="M287" s="9"/>
      <c r="N287" s="9"/>
      <c r="O287" s="7" t="s">
        <v>154</v>
      </c>
      <c r="P287" s="7" t="s">
        <v>89</v>
      </c>
      <c r="Q287" s="7" t="s">
        <v>155</v>
      </c>
      <c r="R287" s="7" t="s">
        <v>1858</v>
      </c>
      <c r="S287" s="7" t="s">
        <v>1722</v>
      </c>
      <c r="T287" s="7"/>
      <c r="U287" s="10"/>
      <c r="V287" s="7"/>
      <c r="W287" s="7"/>
      <c r="X287" s="7"/>
      <c r="Y287" s="7"/>
      <c r="Z287" s="7"/>
      <c r="AA287" s="7"/>
      <c r="AB287" s="8"/>
      <c r="AC287" s="6"/>
      <c r="AD287" s="6"/>
      <c r="AE287" s="6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8"/>
      <c r="AR287" s="9" t="str">
        <f aca="false">IFERROR(VLOOKUP($X287,Lotes!$A:$E,5,FALSE())*$U287,"")</f>
        <v/>
      </c>
      <c r="AS287" s="9" t="n">
        <f aca="false">IF($L287="","",$L287*2.6)</f>
        <v>187200</v>
      </c>
      <c r="AT287" s="9"/>
      <c r="AU287" s="9" t="n">
        <v>216000</v>
      </c>
      <c r="AV287" s="9" t="n">
        <v>216000</v>
      </c>
      <c r="AW287" s="9" t="n">
        <v>0</v>
      </c>
      <c r="AX287" s="7" t="s">
        <v>159</v>
      </c>
      <c r="AY287" s="7" t="s">
        <v>575</v>
      </c>
      <c r="AZ287" s="7"/>
      <c r="BA287" s="7" t="s">
        <v>1859</v>
      </c>
      <c r="BB287" s="7" t="s">
        <v>1860</v>
      </c>
      <c r="BC287" s="11" t="s">
        <v>1861</v>
      </c>
      <c r="BD287" s="7" t="s">
        <v>98</v>
      </c>
      <c r="BE287" s="11" t="s">
        <v>794</v>
      </c>
    </row>
    <row r="288" customFormat="false" ht="68.65" hidden="false" customHeight="false" outlineLevel="0" collapsed="false">
      <c r="A288" s="6" t="n">
        <v>287</v>
      </c>
      <c r="B288" s="7" t="s">
        <v>1727</v>
      </c>
      <c r="C288" s="7" t="s">
        <v>1862</v>
      </c>
      <c r="D288" s="8" t="n">
        <v>0.21</v>
      </c>
      <c r="E288" s="7" t="s">
        <v>172</v>
      </c>
      <c r="F288" s="7" t="s">
        <v>86</v>
      </c>
      <c r="G288" s="6" t="n">
        <v>1</v>
      </c>
      <c r="H288" s="7" t="s">
        <v>200</v>
      </c>
      <c r="I288" s="7" t="s">
        <v>271</v>
      </c>
      <c r="J288" s="7" t="s">
        <v>1863</v>
      </c>
      <c r="K288" s="7" t="s">
        <v>88</v>
      </c>
      <c r="L288" s="9" t="n">
        <v>84000</v>
      </c>
      <c r="M288" s="9"/>
      <c r="N288" s="9"/>
      <c r="O288" s="7" t="s">
        <v>154</v>
      </c>
      <c r="P288" s="7" t="s">
        <v>89</v>
      </c>
      <c r="Q288" s="7" t="s">
        <v>155</v>
      </c>
      <c r="R288" s="7" t="s">
        <v>1864</v>
      </c>
      <c r="S288" s="7" t="s">
        <v>1722</v>
      </c>
      <c r="T288" s="7"/>
      <c r="U288" s="10"/>
      <c r="V288" s="7"/>
      <c r="W288" s="7"/>
      <c r="X288" s="7" t="s">
        <v>674</v>
      </c>
      <c r="Y288" s="7"/>
      <c r="Z288" s="7"/>
      <c r="AA288" s="7"/>
      <c r="AB288" s="8"/>
      <c r="AC288" s="6"/>
      <c r="AD288" s="6"/>
      <c r="AE288" s="6"/>
      <c r="AF288" s="7" t="s">
        <v>583</v>
      </c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8"/>
      <c r="AR288" s="9" t="n">
        <f aca="false">IFERROR(VLOOKUP($X288,Lotes!$A:$E,5,FALSE())*$U288,"")</f>
        <v>0</v>
      </c>
      <c r="AS288" s="9" t="n">
        <f aca="false">IF($L288="","",$L288*2.6)</f>
        <v>218400</v>
      </c>
      <c r="AT288" s="9"/>
      <c r="AU288" s="9" t="n">
        <v>252000</v>
      </c>
      <c r="AV288" s="9" t="n">
        <v>252000</v>
      </c>
      <c r="AW288" s="9" t="n">
        <v>252000</v>
      </c>
      <c r="AX288" s="7" t="s">
        <v>159</v>
      </c>
      <c r="AY288" s="7" t="s">
        <v>160</v>
      </c>
      <c r="AZ288" s="7"/>
      <c r="BA288" s="7" t="s">
        <v>1865</v>
      </c>
      <c r="BB288" s="7" t="s">
        <v>1866</v>
      </c>
      <c r="BC288" s="11" t="s">
        <v>1867</v>
      </c>
      <c r="BD288" s="7" t="s">
        <v>164</v>
      </c>
      <c r="BE288" s="11" t="s">
        <v>678</v>
      </c>
    </row>
    <row r="289" customFormat="false" ht="68.65" hidden="false" customHeight="false" outlineLevel="0" collapsed="false">
      <c r="A289" s="6" t="n">
        <v>288</v>
      </c>
      <c r="B289" s="7" t="s">
        <v>1727</v>
      </c>
      <c r="C289" s="7" t="s">
        <v>1868</v>
      </c>
      <c r="D289" s="8"/>
      <c r="E289" s="7" t="s">
        <v>172</v>
      </c>
      <c r="F289" s="7" t="s">
        <v>123</v>
      </c>
      <c r="G289" s="6" t="n">
        <v>1</v>
      </c>
      <c r="H289" s="7"/>
      <c r="I289" s="7"/>
      <c r="J289" s="7"/>
      <c r="K289" s="7" t="s">
        <v>88</v>
      </c>
      <c r="L289" s="9" t="n">
        <v>0</v>
      </c>
      <c r="M289" s="9"/>
      <c r="N289" s="9"/>
      <c r="O289" s="7" t="s">
        <v>154</v>
      </c>
      <c r="P289" s="7" t="s">
        <v>89</v>
      </c>
      <c r="Q289" s="7"/>
      <c r="R289" s="7" t="s">
        <v>1869</v>
      </c>
      <c r="S289" s="7" t="s">
        <v>1722</v>
      </c>
      <c r="T289" s="7"/>
      <c r="U289" s="10"/>
      <c r="V289" s="7"/>
      <c r="W289" s="7"/>
      <c r="X289" s="7"/>
      <c r="Y289" s="7"/>
      <c r="Z289" s="7"/>
      <c r="AA289" s="7"/>
      <c r="AB289" s="8"/>
      <c r="AC289" s="6"/>
      <c r="AD289" s="6"/>
      <c r="AE289" s="6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8"/>
      <c r="AR289" s="9" t="str">
        <f aca="false">IFERROR(VLOOKUP($X289,Lotes!$A:$E,5,FALSE())*$U289,"")</f>
        <v/>
      </c>
      <c r="AS289" s="9" t="n">
        <f aca="false">IF($L289="","",$L289*2.6)</f>
        <v>0</v>
      </c>
      <c r="AT289" s="9"/>
      <c r="AU289" s="9" t="n">
        <v>0</v>
      </c>
      <c r="AV289" s="9" t="n">
        <v>0</v>
      </c>
      <c r="AW289" s="9" t="n">
        <v>0</v>
      </c>
      <c r="AX289" s="7" t="s">
        <v>159</v>
      </c>
      <c r="AY289" s="7" t="s">
        <v>160</v>
      </c>
      <c r="AZ289" s="7"/>
      <c r="BA289" s="7" t="s">
        <v>1870</v>
      </c>
      <c r="BB289" s="7" t="s">
        <v>1871</v>
      </c>
      <c r="BC289" s="11" t="s">
        <v>1872</v>
      </c>
      <c r="BD289" s="7" t="s">
        <v>98</v>
      </c>
      <c r="BE289" s="11" t="s">
        <v>1749</v>
      </c>
    </row>
    <row r="290" customFormat="false" ht="23.85" hidden="false" customHeight="false" outlineLevel="0" collapsed="false">
      <c r="A290" s="6" t="n">
        <v>289</v>
      </c>
      <c r="B290" s="7" t="s">
        <v>1727</v>
      </c>
      <c r="C290" s="7" t="s">
        <v>1873</v>
      </c>
      <c r="D290" s="8" t="n">
        <v>1.15</v>
      </c>
      <c r="E290" s="7" t="s">
        <v>172</v>
      </c>
      <c r="F290" s="7" t="s">
        <v>148</v>
      </c>
      <c r="G290" s="6" t="n">
        <v>1</v>
      </c>
      <c r="H290" s="7" t="s">
        <v>124</v>
      </c>
      <c r="I290" s="7"/>
      <c r="J290" s="7"/>
      <c r="K290" s="7" t="s">
        <v>88</v>
      </c>
      <c r="L290" s="9" t="n">
        <v>371538</v>
      </c>
      <c r="M290" s="9"/>
      <c r="N290" s="9"/>
      <c r="O290" s="7" t="s">
        <v>41</v>
      </c>
      <c r="P290" s="7" t="s">
        <v>218</v>
      </c>
      <c r="Q290" s="7" t="s">
        <v>90</v>
      </c>
      <c r="R290" s="7" t="s">
        <v>1874</v>
      </c>
      <c r="S290" s="7" t="s">
        <v>1219</v>
      </c>
      <c r="T290" s="7" t="s">
        <v>93</v>
      </c>
      <c r="U290" s="10"/>
      <c r="V290" s="7"/>
      <c r="W290" s="7"/>
      <c r="X290" s="7"/>
      <c r="Y290" s="7"/>
      <c r="Z290" s="7"/>
      <c r="AA290" s="7"/>
      <c r="AB290" s="8"/>
      <c r="AC290" s="6"/>
      <c r="AD290" s="6"/>
      <c r="AE290" s="6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8"/>
      <c r="AR290" s="9" t="str">
        <f aca="false">IFERROR(VLOOKUP($X290,Lotes!$A:$E,5,FALSE())*$U290,"")</f>
        <v/>
      </c>
      <c r="AS290" s="9" t="n">
        <f aca="false">IF($L290="","",$L290*2.6)</f>
        <v>965998.8</v>
      </c>
      <c r="AT290" s="9"/>
      <c r="AU290" s="9" t="n">
        <v>966000</v>
      </c>
      <c r="AV290" s="9" t="n">
        <v>937020</v>
      </c>
      <c r="AW290" s="9" t="n">
        <v>0</v>
      </c>
      <c r="AX290" s="7" t="s">
        <v>218</v>
      </c>
      <c r="AY290" s="7" t="s">
        <v>94</v>
      </c>
      <c r="AZ290" s="7"/>
      <c r="BA290" s="7" t="s">
        <v>1875</v>
      </c>
      <c r="BB290" s="7" t="s">
        <v>1876</v>
      </c>
      <c r="BC290" s="11" t="s">
        <v>1877</v>
      </c>
      <c r="BD290" s="7" t="s">
        <v>98</v>
      </c>
      <c r="BE290" s="11" t="s">
        <v>1878</v>
      </c>
    </row>
    <row r="291" customFormat="false" ht="15" hidden="false" customHeight="false" outlineLevel="0" collapsed="false">
      <c r="A291" s="6" t="n">
        <v>290</v>
      </c>
      <c r="B291" s="7" t="s">
        <v>1727</v>
      </c>
      <c r="C291" s="7" t="s">
        <v>1879</v>
      </c>
      <c r="D291" s="8" t="n">
        <v>1.2</v>
      </c>
      <c r="E291" s="7" t="s">
        <v>172</v>
      </c>
      <c r="F291" s="7" t="s">
        <v>148</v>
      </c>
      <c r="G291" s="6" t="n">
        <v>1</v>
      </c>
      <c r="H291" s="7" t="s">
        <v>178</v>
      </c>
      <c r="I291" s="7"/>
      <c r="J291" s="7"/>
      <c r="K291" s="7" t="s">
        <v>88</v>
      </c>
      <c r="L291" s="9" t="n">
        <v>336000</v>
      </c>
      <c r="M291" s="9"/>
      <c r="N291" s="9"/>
      <c r="O291" s="7" t="s">
        <v>41</v>
      </c>
      <c r="P291" s="7" t="s">
        <v>344</v>
      </c>
      <c r="Q291" s="7" t="s">
        <v>90</v>
      </c>
      <c r="R291" s="7" t="s">
        <v>1880</v>
      </c>
      <c r="S291" s="7" t="s">
        <v>1219</v>
      </c>
      <c r="T291" s="7" t="s">
        <v>208</v>
      </c>
      <c r="U291" s="10"/>
      <c r="V291" s="7"/>
      <c r="W291" s="7"/>
      <c r="X291" s="7"/>
      <c r="Y291" s="7"/>
      <c r="Z291" s="7"/>
      <c r="AA291" s="7"/>
      <c r="AB291" s="8"/>
      <c r="AC291" s="6"/>
      <c r="AD291" s="6"/>
      <c r="AE291" s="6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8"/>
      <c r="AR291" s="9" t="str">
        <f aca="false">IFERROR(VLOOKUP($X291,Lotes!$A:$E,5,FALSE())*$U291,"")</f>
        <v/>
      </c>
      <c r="AS291" s="9" t="n">
        <f aca="false">IF($L291="","",$L291*2.6)</f>
        <v>873600</v>
      </c>
      <c r="AT291" s="9"/>
      <c r="AU291" s="9" t="n">
        <v>1008000</v>
      </c>
      <c r="AV291" s="9" t="n">
        <v>685440</v>
      </c>
      <c r="AW291" s="9" t="n">
        <v>0</v>
      </c>
      <c r="AX291" s="7" t="s">
        <v>344</v>
      </c>
      <c r="AY291" s="7" t="s">
        <v>94</v>
      </c>
      <c r="AZ291" s="7"/>
      <c r="BA291" s="7" t="s">
        <v>1881</v>
      </c>
      <c r="BB291" s="7" t="s">
        <v>1882</v>
      </c>
      <c r="BC291" s="11" t="s">
        <v>1883</v>
      </c>
      <c r="BD291" s="7" t="s">
        <v>98</v>
      </c>
      <c r="BE291" s="11" t="s">
        <v>763</v>
      </c>
    </row>
    <row r="292" customFormat="false" ht="15" hidden="false" customHeight="false" outlineLevel="0" collapsed="false">
      <c r="A292" s="6" t="n">
        <v>291</v>
      </c>
      <c r="B292" s="7" t="s">
        <v>1727</v>
      </c>
      <c r="C292" s="7" t="s">
        <v>1884</v>
      </c>
      <c r="D292" s="8" t="n">
        <v>1.7</v>
      </c>
      <c r="E292" s="7" t="s">
        <v>172</v>
      </c>
      <c r="F292" s="7" t="s">
        <v>148</v>
      </c>
      <c r="G292" s="6" t="n">
        <v>1</v>
      </c>
      <c r="H292" s="7" t="s">
        <v>87</v>
      </c>
      <c r="I292" s="7" t="s">
        <v>271</v>
      </c>
      <c r="J292" s="7" t="s">
        <v>1885</v>
      </c>
      <c r="K292" s="7" t="s">
        <v>88</v>
      </c>
      <c r="L292" s="9" t="n">
        <v>350000</v>
      </c>
      <c r="M292" s="9"/>
      <c r="N292" s="9"/>
      <c r="O292" s="7" t="s">
        <v>41</v>
      </c>
      <c r="P292" s="7" t="s">
        <v>331</v>
      </c>
      <c r="Q292" s="7" t="s">
        <v>711</v>
      </c>
      <c r="R292" s="7" t="s">
        <v>1886</v>
      </c>
      <c r="S292" s="7" t="s">
        <v>1722</v>
      </c>
      <c r="T292" s="7" t="s">
        <v>697</v>
      </c>
      <c r="U292" s="10"/>
      <c r="V292" s="7"/>
      <c r="W292" s="7"/>
      <c r="X292" s="7"/>
      <c r="Y292" s="7"/>
      <c r="Z292" s="7"/>
      <c r="AA292" s="7"/>
      <c r="AB292" s="8"/>
      <c r="AC292" s="6"/>
      <c r="AD292" s="6"/>
      <c r="AE292" s="6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8"/>
      <c r="AR292" s="9" t="str">
        <f aca="false">IFERROR(VLOOKUP($X292,Lotes!$A:$E,5,FALSE())*$U292,"")</f>
        <v/>
      </c>
      <c r="AS292" s="9" t="n">
        <f aca="false">IF($L292="","",$L292*2.6)</f>
        <v>910000</v>
      </c>
      <c r="AT292" s="9"/>
      <c r="AU292" s="9" t="n">
        <v>1050000</v>
      </c>
      <c r="AV292" s="9" t="n">
        <v>1050000</v>
      </c>
      <c r="AW292" s="9" t="n">
        <v>1050000</v>
      </c>
      <c r="AX292" s="7" t="s">
        <v>331</v>
      </c>
      <c r="AY292" s="7" t="s">
        <v>112</v>
      </c>
      <c r="AZ292" s="7"/>
      <c r="BA292" s="7" t="s">
        <v>1887</v>
      </c>
      <c r="BB292" s="7" t="s">
        <v>1888</v>
      </c>
      <c r="BC292" s="11" t="s">
        <v>1889</v>
      </c>
      <c r="BD292" s="7" t="s">
        <v>98</v>
      </c>
      <c r="BE292" s="11" t="s">
        <v>763</v>
      </c>
    </row>
    <row r="293" customFormat="false" ht="46.25" hidden="false" customHeight="false" outlineLevel="0" collapsed="false">
      <c r="A293" s="6" t="n">
        <v>292</v>
      </c>
      <c r="B293" s="7" t="s">
        <v>1727</v>
      </c>
      <c r="C293" s="7" t="s">
        <v>1890</v>
      </c>
      <c r="D293" s="8"/>
      <c r="E293" s="7" t="s">
        <v>172</v>
      </c>
      <c r="F293" s="7" t="s">
        <v>148</v>
      </c>
      <c r="G293" s="6" t="n">
        <v>1</v>
      </c>
      <c r="H293" s="7"/>
      <c r="I293" s="7"/>
      <c r="J293" s="7"/>
      <c r="K293" s="7" t="s">
        <v>88</v>
      </c>
      <c r="L293" s="9" t="n">
        <v>364000</v>
      </c>
      <c r="M293" s="9"/>
      <c r="N293" s="9"/>
      <c r="O293" s="7" t="s">
        <v>154</v>
      </c>
      <c r="P293" s="7" t="s">
        <v>89</v>
      </c>
      <c r="Q293" s="7"/>
      <c r="R293" s="7" t="s">
        <v>1891</v>
      </c>
      <c r="S293" s="7" t="s">
        <v>1722</v>
      </c>
      <c r="T293" s="7"/>
      <c r="U293" s="10"/>
      <c r="V293" s="7"/>
      <c r="W293" s="7"/>
      <c r="X293" s="7"/>
      <c r="Y293" s="7"/>
      <c r="Z293" s="7"/>
      <c r="AA293" s="7"/>
      <c r="AB293" s="8"/>
      <c r="AC293" s="6"/>
      <c r="AD293" s="6"/>
      <c r="AE293" s="6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8"/>
      <c r="AR293" s="9" t="str">
        <f aca="false">IFERROR(VLOOKUP($X293,Lotes!$A:$E,5,FALSE())*$U293,"")</f>
        <v/>
      </c>
      <c r="AS293" s="9" t="n">
        <f aca="false">IF($L293="","",$L293*2.6)</f>
        <v>946400</v>
      </c>
      <c r="AT293" s="9"/>
      <c r="AU293" s="9" t="n">
        <v>1092000</v>
      </c>
      <c r="AV293" s="9" t="n">
        <v>1092000</v>
      </c>
      <c r="AW293" s="9" t="n">
        <v>1092000</v>
      </c>
      <c r="AX293" s="7" t="s">
        <v>159</v>
      </c>
      <c r="AY293" s="7" t="s">
        <v>160</v>
      </c>
      <c r="AZ293" s="7"/>
      <c r="BA293" s="7" t="s">
        <v>1892</v>
      </c>
      <c r="BB293" s="7" t="s">
        <v>1893</v>
      </c>
      <c r="BC293" s="11" t="s">
        <v>1894</v>
      </c>
      <c r="BD293" s="7" t="s">
        <v>98</v>
      </c>
      <c r="BE293" s="11" t="s">
        <v>794</v>
      </c>
    </row>
    <row r="294" customFormat="false" ht="46.25" hidden="false" customHeight="false" outlineLevel="0" collapsed="false">
      <c r="A294" s="6" t="n">
        <v>293</v>
      </c>
      <c r="B294" s="7" t="s">
        <v>1727</v>
      </c>
      <c r="C294" s="7" t="s">
        <v>1895</v>
      </c>
      <c r="D294" s="8"/>
      <c r="E294" s="7" t="s">
        <v>172</v>
      </c>
      <c r="F294" s="7" t="s">
        <v>148</v>
      </c>
      <c r="G294" s="6" t="n">
        <v>1</v>
      </c>
      <c r="H294" s="7"/>
      <c r="I294" s="7"/>
      <c r="J294" s="7"/>
      <c r="K294" s="7" t="s">
        <v>88</v>
      </c>
      <c r="L294" s="9" t="n">
        <v>378000</v>
      </c>
      <c r="M294" s="9"/>
      <c r="N294" s="9"/>
      <c r="O294" s="7" t="s">
        <v>154</v>
      </c>
      <c r="P294" s="7" t="s">
        <v>89</v>
      </c>
      <c r="Q294" s="7"/>
      <c r="R294" s="7" t="s">
        <v>1896</v>
      </c>
      <c r="S294" s="7" t="s">
        <v>1722</v>
      </c>
      <c r="T294" s="7"/>
      <c r="U294" s="10"/>
      <c r="V294" s="7"/>
      <c r="W294" s="7"/>
      <c r="X294" s="7"/>
      <c r="Y294" s="7"/>
      <c r="Z294" s="7"/>
      <c r="AA294" s="7"/>
      <c r="AB294" s="8"/>
      <c r="AC294" s="6"/>
      <c r="AD294" s="6"/>
      <c r="AE294" s="6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8"/>
      <c r="AR294" s="9" t="str">
        <f aca="false">IFERROR(VLOOKUP($X294,Lotes!$A:$E,5,FALSE())*$U294,"")</f>
        <v/>
      </c>
      <c r="AS294" s="9" t="n">
        <f aca="false">IF($L294="","",$L294*2.6)</f>
        <v>982800</v>
      </c>
      <c r="AT294" s="9"/>
      <c r="AU294" s="9" t="n">
        <v>1134000</v>
      </c>
      <c r="AV294" s="9" t="n">
        <v>1134000</v>
      </c>
      <c r="AW294" s="9" t="n">
        <v>1134000</v>
      </c>
      <c r="AX294" s="7" t="s">
        <v>159</v>
      </c>
      <c r="AY294" s="7" t="s">
        <v>160</v>
      </c>
      <c r="AZ294" s="7"/>
      <c r="BA294" s="7" t="s">
        <v>1897</v>
      </c>
      <c r="BB294" s="7" t="s">
        <v>1898</v>
      </c>
      <c r="BC294" s="11" t="s">
        <v>1899</v>
      </c>
      <c r="BD294" s="7" t="s">
        <v>98</v>
      </c>
      <c r="BE294" s="11" t="s">
        <v>794</v>
      </c>
    </row>
    <row r="295" customFormat="false" ht="15" hidden="false" customHeight="false" outlineLevel="0" collapsed="false">
      <c r="A295" s="6" t="n">
        <v>294</v>
      </c>
      <c r="B295" s="7" t="s">
        <v>1727</v>
      </c>
      <c r="C295" s="7" t="s">
        <v>1900</v>
      </c>
      <c r="D295" s="8" t="n">
        <v>1.83</v>
      </c>
      <c r="E295" s="7" t="s">
        <v>85</v>
      </c>
      <c r="F295" s="7" t="s">
        <v>148</v>
      </c>
      <c r="G295" s="6" t="n">
        <v>1</v>
      </c>
      <c r="H295" s="7" t="s">
        <v>178</v>
      </c>
      <c r="I295" s="7" t="s">
        <v>271</v>
      </c>
      <c r="J295" s="7" t="s">
        <v>1901</v>
      </c>
      <c r="K295" s="7" t="s">
        <v>88</v>
      </c>
      <c r="L295" s="9" t="n">
        <v>392000</v>
      </c>
      <c r="M295" s="9"/>
      <c r="N295" s="9"/>
      <c r="O295" s="7" t="s">
        <v>41</v>
      </c>
      <c r="P295" s="7" t="s">
        <v>109</v>
      </c>
      <c r="Q295" s="7" t="s">
        <v>711</v>
      </c>
      <c r="R295" s="7" t="s">
        <v>1902</v>
      </c>
      <c r="S295" s="7" t="s">
        <v>1722</v>
      </c>
      <c r="T295" s="7" t="s">
        <v>697</v>
      </c>
      <c r="U295" s="10"/>
      <c r="V295" s="7"/>
      <c r="W295" s="7"/>
      <c r="X295" s="7"/>
      <c r="Y295" s="7"/>
      <c r="Z295" s="7"/>
      <c r="AA295" s="7"/>
      <c r="AB295" s="8"/>
      <c r="AC295" s="6"/>
      <c r="AD295" s="6"/>
      <c r="AE295" s="6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8"/>
      <c r="AR295" s="9" t="str">
        <f aca="false">IFERROR(VLOOKUP($X295,Lotes!$A:$E,5,FALSE())*$U295,"")</f>
        <v/>
      </c>
      <c r="AS295" s="9" t="n">
        <f aca="false">IF($L295="","",$L295*2.6)</f>
        <v>1019200</v>
      </c>
      <c r="AT295" s="9"/>
      <c r="AU295" s="9" t="n">
        <v>1176000</v>
      </c>
      <c r="AV295" s="9" t="n">
        <v>1176000</v>
      </c>
      <c r="AW295" s="9" t="n">
        <v>1176000</v>
      </c>
      <c r="AX295" s="7" t="s">
        <v>109</v>
      </c>
      <c r="AY295" s="7" t="s">
        <v>112</v>
      </c>
      <c r="AZ295" s="7"/>
      <c r="BA295" s="7" t="s">
        <v>1903</v>
      </c>
      <c r="BB295" s="7" t="s">
        <v>1904</v>
      </c>
      <c r="BC295" s="11" t="s">
        <v>1905</v>
      </c>
      <c r="BD295" s="7" t="s">
        <v>98</v>
      </c>
      <c r="BE295" s="11"/>
    </row>
    <row r="296" customFormat="false" ht="79.85" hidden="false" customHeight="false" outlineLevel="0" collapsed="false">
      <c r="A296" s="6" t="n">
        <v>295</v>
      </c>
      <c r="B296" s="7" t="s">
        <v>1727</v>
      </c>
      <c r="C296" s="7" t="s">
        <v>1906</v>
      </c>
      <c r="D296" s="8" t="n">
        <v>1.06</v>
      </c>
      <c r="E296" s="7" t="s">
        <v>245</v>
      </c>
      <c r="F296" s="7" t="s">
        <v>86</v>
      </c>
      <c r="G296" s="6" t="n">
        <v>1</v>
      </c>
      <c r="H296" s="7" t="s">
        <v>87</v>
      </c>
      <c r="I296" s="7" t="s">
        <v>271</v>
      </c>
      <c r="J296" s="7" t="s">
        <v>1907</v>
      </c>
      <c r="K296" s="7" t="s">
        <v>88</v>
      </c>
      <c r="L296" s="9" t="n">
        <v>406000</v>
      </c>
      <c r="M296" s="9"/>
      <c r="N296" s="9"/>
      <c r="O296" s="7" t="s">
        <v>154</v>
      </c>
      <c r="P296" s="7" t="s">
        <v>89</v>
      </c>
      <c r="Q296" s="7"/>
      <c r="R296" s="7" t="s">
        <v>1908</v>
      </c>
      <c r="S296" s="7" t="s">
        <v>1722</v>
      </c>
      <c r="T296" s="7"/>
      <c r="U296" s="10"/>
      <c r="V296" s="7"/>
      <c r="W296" s="7"/>
      <c r="X296" s="7" t="s">
        <v>674</v>
      </c>
      <c r="Y296" s="7"/>
      <c r="Z296" s="7"/>
      <c r="AA296" s="7"/>
      <c r="AB296" s="8"/>
      <c r="AC296" s="6"/>
      <c r="AD296" s="6"/>
      <c r="AE296" s="6"/>
      <c r="AF296" s="7" t="s">
        <v>583</v>
      </c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8"/>
      <c r="AR296" s="9" t="n">
        <f aca="false">IFERROR(VLOOKUP($X296,Lotes!$A:$E,5,FALSE())*$U296,"")</f>
        <v>0</v>
      </c>
      <c r="AS296" s="9" t="n">
        <f aca="false">IF($L296="","",$L296*2.6)</f>
        <v>1055600</v>
      </c>
      <c r="AT296" s="9"/>
      <c r="AU296" s="9" t="n">
        <v>1218000</v>
      </c>
      <c r="AV296" s="9" t="n">
        <v>1218000</v>
      </c>
      <c r="AW296" s="9" t="n">
        <v>1218000</v>
      </c>
      <c r="AX296" s="7" t="s">
        <v>159</v>
      </c>
      <c r="AY296" s="7" t="s">
        <v>160</v>
      </c>
      <c r="AZ296" s="7"/>
      <c r="BA296" s="7" t="s">
        <v>1909</v>
      </c>
      <c r="BB296" s="7" t="s">
        <v>1910</v>
      </c>
      <c r="BC296" s="11" t="s">
        <v>1911</v>
      </c>
      <c r="BD296" s="7" t="s">
        <v>164</v>
      </c>
      <c r="BE296" s="11" t="s">
        <v>1912</v>
      </c>
    </row>
    <row r="297" customFormat="false" ht="15" hidden="false" customHeight="false" outlineLevel="0" collapsed="false">
      <c r="A297" s="6" t="n">
        <v>296</v>
      </c>
      <c r="B297" s="7" t="s">
        <v>1727</v>
      </c>
      <c r="C297" s="7" t="s">
        <v>1913</v>
      </c>
      <c r="D297" s="8" t="n">
        <v>0.37</v>
      </c>
      <c r="E297" s="7" t="s">
        <v>245</v>
      </c>
      <c r="F297" s="7" t="s">
        <v>148</v>
      </c>
      <c r="G297" s="6" t="n">
        <v>1</v>
      </c>
      <c r="H297" s="7" t="s">
        <v>178</v>
      </c>
      <c r="I297" s="7" t="s">
        <v>271</v>
      </c>
      <c r="J297" s="7" t="s">
        <v>1914</v>
      </c>
      <c r="K297" s="7" t="s">
        <v>88</v>
      </c>
      <c r="L297" s="9" t="n">
        <v>420000</v>
      </c>
      <c r="M297" s="9"/>
      <c r="N297" s="9"/>
      <c r="O297" s="7" t="s">
        <v>41</v>
      </c>
      <c r="P297" s="7" t="s">
        <v>127</v>
      </c>
      <c r="Q297" s="7" t="s">
        <v>90</v>
      </c>
      <c r="R297" s="7" t="s">
        <v>1915</v>
      </c>
      <c r="S297" s="7" t="s">
        <v>1219</v>
      </c>
      <c r="T297" s="7" t="s">
        <v>93</v>
      </c>
      <c r="U297" s="10"/>
      <c r="V297" s="7"/>
      <c r="W297" s="7"/>
      <c r="X297" s="7"/>
      <c r="Y297" s="7"/>
      <c r="Z297" s="7"/>
      <c r="AA297" s="7"/>
      <c r="AB297" s="8"/>
      <c r="AC297" s="6"/>
      <c r="AD297" s="6"/>
      <c r="AE297" s="6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8"/>
      <c r="AR297" s="9" t="str">
        <f aca="false">IFERROR(VLOOKUP($X297,Lotes!$A:$E,5,FALSE())*$U297,"")</f>
        <v/>
      </c>
      <c r="AS297" s="9" t="n">
        <f aca="false">IF($L297="","",$L297*2.6)</f>
        <v>1092000</v>
      </c>
      <c r="AT297" s="9"/>
      <c r="AU297" s="9" t="n">
        <v>310800</v>
      </c>
      <c r="AV297" s="9" t="n">
        <v>248640</v>
      </c>
      <c r="AW297" s="9" t="n">
        <v>0</v>
      </c>
      <c r="AX297" s="7" t="s">
        <v>127</v>
      </c>
      <c r="AY297" s="7" t="s">
        <v>94</v>
      </c>
      <c r="AZ297" s="7"/>
      <c r="BA297" s="7" t="s">
        <v>1916</v>
      </c>
      <c r="BB297" s="7" t="s">
        <v>1917</v>
      </c>
      <c r="BC297" s="11" t="s">
        <v>1918</v>
      </c>
      <c r="BD297" s="7" t="s">
        <v>98</v>
      </c>
      <c r="BE297" s="11"/>
    </row>
    <row r="298" customFormat="false" ht="68.65" hidden="false" customHeight="false" outlineLevel="0" collapsed="false">
      <c r="A298" s="6" t="n">
        <v>297</v>
      </c>
      <c r="B298" s="7" t="s">
        <v>1727</v>
      </c>
      <c r="C298" s="7" t="s">
        <v>1919</v>
      </c>
      <c r="D298" s="8"/>
      <c r="E298" s="7" t="s">
        <v>172</v>
      </c>
      <c r="F298" s="7" t="s">
        <v>148</v>
      </c>
      <c r="G298" s="6" t="n">
        <v>1</v>
      </c>
      <c r="H298" s="7"/>
      <c r="I298" s="7"/>
      <c r="J298" s="7"/>
      <c r="K298" s="7" t="s">
        <v>88</v>
      </c>
      <c r="L298" s="9" t="n">
        <v>0</v>
      </c>
      <c r="M298" s="9"/>
      <c r="N298" s="9"/>
      <c r="O298" s="7" t="s">
        <v>154</v>
      </c>
      <c r="P298" s="7" t="s">
        <v>89</v>
      </c>
      <c r="Q298" s="7"/>
      <c r="R298" s="7" t="s">
        <v>1920</v>
      </c>
      <c r="S298" s="7" t="s">
        <v>1722</v>
      </c>
      <c r="T298" s="7"/>
      <c r="U298" s="10"/>
      <c r="V298" s="7"/>
      <c r="W298" s="7"/>
      <c r="X298" s="7"/>
      <c r="Y298" s="7"/>
      <c r="Z298" s="7"/>
      <c r="AA298" s="7"/>
      <c r="AB298" s="8"/>
      <c r="AC298" s="6"/>
      <c r="AD298" s="6"/>
      <c r="AE298" s="6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8"/>
      <c r="AR298" s="9" t="str">
        <f aca="false">IFERROR(VLOOKUP($X298,Lotes!$A:$E,5,FALSE())*$U298,"")</f>
        <v/>
      </c>
      <c r="AS298" s="9" t="n">
        <f aca="false">IF($L298="","",$L298*2.6)</f>
        <v>0</v>
      </c>
      <c r="AT298" s="9"/>
      <c r="AU298" s="9" t="n">
        <v>0</v>
      </c>
      <c r="AV298" s="9" t="n">
        <v>0</v>
      </c>
      <c r="AW298" s="9" t="n">
        <v>0</v>
      </c>
      <c r="AX298" s="7" t="s">
        <v>159</v>
      </c>
      <c r="AY298" s="7" t="s">
        <v>160</v>
      </c>
      <c r="AZ298" s="7"/>
      <c r="BA298" s="7" t="s">
        <v>1921</v>
      </c>
      <c r="BB298" s="7" t="s">
        <v>1922</v>
      </c>
      <c r="BC298" s="11" t="s">
        <v>1923</v>
      </c>
      <c r="BD298" s="7" t="s">
        <v>98</v>
      </c>
      <c r="BE298" s="11" t="s">
        <v>1749</v>
      </c>
    </row>
    <row r="299" customFormat="false" ht="23.85" hidden="false" customHeight="false" outlineLevel="0" collapsed="false">
      <c r="A299" s="6" t="n">
        <v>298</v>
      </c>
      <c r="B299" s="7" t="s">
        <v>1924</v>
      </c>
      <c r="C299" s="7" t="s">
        <v>1925</v>
      </c>
      <c r="D299" s="8" t="n">
        <v>0.45</v>
      </c>
      <c r="E299" s="7" t="s">
        <v>245</v>
      </c>
      <c r="F299" s="7" t="s">
        <v>148</v>
      </c>
      <c r="G299" s="6" t="n">
        <v>1</v>
      </c>
      <c r="H299" s="7" t="s">
        <v>101</v>
      </c>
      <c r="I299" s="7" t="s">
        <v>271</v>
      </c>
      <c r="J299" s="7" t="s">
        <v>1926</v>
      </c>
      <c r="K299" s="7" t="s">
        <v>907</v>
      </c>
      <c r="L299" s="9" t="n">
        <v>103000</v>
      </c>
      <c r="M299" s="9"/>
      <c r="N299" s="9"/>
      <c r="O299" s="7" t="s">
        <v>41</v>
      </c>
      <c r="P299" s="7" t="s">
        <v>109</v>
      </c>
      <c r="Q299" s="7" t="s">
        <v>155</v>
      </c>
      <c r="R299" s="7" t="s">
        <v>1927</v>
      </c>
      <c r="S299" s="7" t="s">
        <v>1722</v>
      </c>
      <c r="T299" s="7"/>
      <c r="U299" s="10"/>
      <c r="V299" s="7"/>
      <c r="W299" s="7"/>
      <c r="X299" s="7" t="s">
        <v>674</v>
      </c>
      <c r="Y299" s="7"/>
      <c r="Z299" s="7"/>
      <c r="AA299" s="7"/>
      <c r="AB299" s="8"/>
      <c r="AC299" s="6"/>
      <c r="AD299" s="6"/>
      <c r="AE299" s="6"/>
      <c r="AF299" s="7" t="s">
        <v>583</v>
      </c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8" t="n">
        <v>0.73</v>
      </c>
      <c r="AR299" s="9" t="n">
        <f aca="false">IFERROR(VLOOKUP($X299,Lotes!$A:$E,5,FALSE())*$U299,"")</f>
        <v>0</v>
      </c>
      <c r="AS299" s="9" t="n">
        <f aca="false">IF($L299="","",$L299*2.6)</f>
        <v>267800</v>
      </c>
      <c r="AT299" s="9"/>
      <c r="AU299" s="9" t="n">
        <v>450000</v>
      </c>
      <c r="AV299" s="9" t="n">
        <v>450000</v>
      </c>
      <c r="AW299" s="9" t="n">
        <v>450000</v>
      </c>
      <c r="AX299" s="7" t="s">
        <v>109</v>
      </c>
      <c r="AY299" s="7" t="s">
        <v>820</v>
      </c>
      <c r="AZ299" s="7"/>
      <c r="BA299" s="7" t="s">
        <v>1928</v>
      </c>
      <c r="BB299" s="7" t="s">
        <v>1929</v>
      </c>
      <c r="BC299" s="11" t="s">
        <v>1930</v>
      </c>
      <c r="BD299" s="7" t="s">
        <v>164</v>
      </c>
      <c r="BE299" s="11" t="s">
        <v>1931</v>
      </c>
    </row>
    <row r="300" customFormat="false" ht="23.85" hidden="false" customHeight="false" outlineLevel="0" collapsed="false">
      <c r="A300" s="6" t="n">
        <v>299</v>
      </c>
      <c r="B300" s="7" t="s">
        <v>1924</v>
      </c>
      <c r="C300" s="7" t="s">
        <v>1925</v>
      </c>
      <c r="D300" s="8"/>
      <c r="E300" s="7" t="s">
        <v>245</v>
      </c>
      <c r="F300" s="7" t="s">
        <v>148</v>
      </c>
      <c r="G300" s="6" t="n">
        <v>2</v>
      </c>
      <c r="H300" s="7" t="s">
        <v>101</v>
      </c>
      <c r="I300" s="7"/>
      <c r="J300" s="7"/>
      <c r="K300" s="7" t="s">
        <v>907</v>
      </c>
      <c r="L300" s="9" t="n">
        <v>150000</v>
      </c>
      <c r="M300" s="9"/>
      <c r="N300" s="9"/>
      <c r="O300" s="7" t="s">
        <v>41</v>
      </c>
      <c r="P300" s="7" t="s">
        <v>465</v>
      </c>
      <c r="Q300" s="7" t="s">
        <v>90</v>
      </c>
      <c r="R300" s="7" t="s">
        <v>1932</v>
      </c>
      <c r="S300" s="7" t="s">
        <v>1219</v>
      </c>
      <c r="T300" s="7" t="s">
        <v>208</v>
      </c>
      <c r="U300" s="10"/>
      <c r="V300" s="7"/>
      <c r="W300" s="7"/>
      <c r="X300" s="7" t="s">
        <v>1933</v>
      </c>
      <c r="Y300" s="7"/>
      <c r="Z300" s="7"/>
      <c r="AA300" s="7"/>
      <c r="AB300" s="8"/>
      <c r="AC300" s="6"/>
      <c r="AD300" s="6"/>
      <c r="AE300" s="6"/>
      <c r="AF300" s="7" t="s">
        <v>158</v>
      </c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8"/>
      <c r="AR300" s="9" t="n">
        <f aca="false">IFERROR(VLOOKUP($X300,Lotes!$A:$E,5,FALSE())*$U300,"")</f>
        <v>0</v>
      </c>
      <c r="AS300" s="9" t="n">
        <f aca="false">IF($L300="","",$L300*2.6)</f>
        <v>390000</v>
      </c>
      <c r="AT300" s="9"/>
      <c r="AU300" s="9" t="n">
        <v>450000</v>
      </c>
      <c r="AV300" s="9" t="n">
        <v>360000</v>
      </c>
      <c r="AW300" s="9" t="n">
        <v>450000</v>
      </c>
      <c r="AX300" s="7" t="s">
        <v>465</v>
      </c>
      <c r="AY300" s="7" t="s">
        <v>112</v>
      </c>
      <c r="AZ300" s="7"/>
      <c r="BA300" s="7" t="s">
        <v>1934</v>
      </c>
      <c r="BB300" s="7" t="s">
        <v>1935</v>
      </c>
      <c r="BC300" s="11" t="s">
        <v>1936</v>
      </c>
      <c r="BD300" s="7" t="s">
        <v>164</v>
      </c>
      <c r="BE300" s="11" t="s">
        <v>1931</v>
      </c>
    </row>
    <row r="301" customFormat="false" ht="15" hidden="false" customHeight="false" outlineLevel="0" collapsed="false">
      <c r="A301" s="6" t="n">
        <v>300</v>
      </c>
      <c r="B301" s="7" t="s">
        <v>1924</v>
      </c>
      <c r="C301" s="7" t="s">
        <v>1937</v>
      </c>
      <c r="D301" s="8"/>
      <c r="E301" s="7"/>
      <c r="F301" s="7" t="s">
        <v>148</v>
      </c>
      <c r="G301" s="6" t="n">
        <v>1</v>
      </c>
      <c r="H301" s="7" t="s">
        <v>1052</v>
      </c>
      <c r="I301" s="7"/>
      <c r="J301" s="7"/>
      <c r="K301" s="7" t="s">
        <v>88</v>
      </c>
      <c r="L301" s="9" t="n">
        <v>60000</v>
      </c>
      <c r="M301" s="9"/>
      <c r="N301" s="9"/>
      <c r="O301" s="7" t="s">
        <v>41</v>
      </c>
      <c r="P301" s="7" t="s">
        <v>89</v>
      </c>
      <c r="Q301" s="7" t="s">
        <v>90</v>
      </c>
      <c r="R301" s="7" t="s">
        <v>1938</v>
      </c>
      <c r="S301" s="7" t="s">
        <v>1722</v>
      </c>
      <c r="T301" s="7" t="s">
        <v>93</v>
      </c>
      <c r="U301" s="10"/>
      <c r="V301" s="7"/>
      <c r="W301" s="7"/>
      <c r="X301" s="7"/>
      <c r="Y301" s="7"/>
      <c r="Z301" s="7"/>
      <c r="AA301" s="7"/>
      <c r="AB301" s="8"/>
      <c r="AC301" s="6"/>
      <c r="AD301" s="6"/>
      <c r="AE301" s="6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8"/>
      <c r="AR301" s="9" t="str">
        <f aca="false">IFERROR(VLOOKUP($X301,Lotes!$A:$E,5,FALSE())*$U301,"")</f>
        <v/>
      </c>
      <c r="AS301" s="9" t="n">
        <f aca="false">IF($L301="","",$L301*2.6)</f>
        <v>156000</v>
      </c>
      <c r="AT301" s="9"/>
      <c r="AU301" s="9" t="n">
        <v>180000</v>
      </c>
      <c r="AV301" s="9" t="n">
        <v>180000</v>
      </c>
      <c r="AW301" s="9" t="n">
        <v>0</v>
      </c>
      <c r="AX301" s="7" t="s">
        <v>89</v>
      </c>
      <c r="AY301" s="7" t="s">
        <v>94</v>
      </c>
      <c r="AZ301" s="7"/>
      <c r="BA301" s="7" t="s">
        <v>1939</v>
      </c>
      <c r="BB301" s="7" t="s">
        <v>1940</v>
      </c>
      <c r="BC301" s="11" t="s">
        <v>1941</v>
      </c>
      <c r="BD301" s="7" t="s">
        <v>98</v>
      </c>
      <c r="BE301" s="11"/>
    </row>
    <row r="302" customFormat="false" ht="15" hidden="false" customHeight="false" outlineLevel="0" collapsed="false">
      <c r="A302" s="6" t="n">
        <v>301</v>
      </c>
      <c r="B302" s="7" t="s">
        <v>1924</v>
      </c>
      <c r="C302" s="7" t="s">
        <v>1942</v>
      </c>
      <c r="D302" s="8" t="n">
        <v>18</v>
      </c>
      <c r="E302" s="7" t="s">
        <v>172</v>
      </c>
      <c r="F302" s="7" t="s">
        <v>311</v>
      </c>
      <c r="G302" s="6" t="n">
        <v>1</v>
      </c>
      <c r="H302" s="7" t="s">
        <v>124</v>
      </c>
      <c r="I302" s="7"/>
      <c r="J302" s="7"/>
      <c r="K302" s="7" t="s">
        <v>1943</v>
      </c>
      <c r="L302" s="9" t="n">
        <v>2566000</v>
      </c>
      <c r="M302" s="9"/>
      <c r="N302" s="9"/>
      <c r="O302" s="7" t="s">
        <v>817</v>
      </c>
      <c r="P302" s="7" t="s">
        <v>428</v>
      </c>
      <c r="Q302" s="7" t="s">
        <v>506</v>
      </c>
      <c r="R302" s="7" t="s">
        <v>1944</v>
      </c>
      <c r="S302" s="7" t="s">
        <v>1722</v>
      </c>
      <c r="T302" s="7"/>
      <c r="U302" s="10"/>
      <c r="V302" s="7"/>
      <c r="W302" s="7"/>
      <c r="X302" s="7"/>
      <c r="Y302" s="7"/>
      <c r="Z302" s="7"/>
      <c r="AA302" s="7"/>
      <c r="AB302" s="8"/>
      <c r="AC302" s="6"/>
      <c r="AD302" s="6"/>
      <c r="AE302" s="6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8"/>
      <c r="AR302" s="9" t="str">
        <f aca="false">IFERROR(VLOOKUP($X302,Lotes!$A:$E,5,FALSE())*$U302,"")</f>
        <v/>
      </c>
      <c r="AS302" s="9" t="n">
        <f aca="false">IF($L302="","",$L302*2.6)</f>
        <v>6671600</v>
      </c>
      <c r="AT302" s="9"/>
      <c r="AU302" s="9" t="n">
        <v>5516900</v>
      </c>
      <c r="AV302" s="9" t="n">
        <v>5516900</v>
      </c>
      <c r="AW302" s="9" t="n">
        <v>0</v>
      </c>
      <c r="AX302" s="7" t="s">
        <v>428</v>
      </c>
      <c r="AY302" s="7" t="s">
        <v>506</v>
      </c>
      <c r="AZ302" s="7"/>
      <c r="BA302" s="7" t="s">
        <v>1945</v>
      </c>
      <c r="BB302" s="7" t="s">
        <v>1946</v>
      </c>
      <c r="BC302" s="11" t="s">
        <v>1947</v>
      </c>
      <c r="BD302" s="7" t="s">
        <v>98</v>
      </c>
      <c r="BE302" s="11"/>
    </row>
    <row r="303" customFormat="false" ht="15" hidden="false" customHeight="false" outlineLevel="0" collapsed="false">
      <c r="A303" s="6" t="n">
        <v>302</v>
      </c>
      <c r="B303" s="7" t="s">
        <v>1924</v>
      </c>
      <c r="C303" s="7" t="s">
        <v>1948</v>
      </c>
      <c r="D303" s="8" t="n">
        <v>18</v>
      </c>
      <c r="E303" s="7" t="s">
        <v>386</v>
      </c>
      <c r="F303" s="7" t="s">
        <v>311</v>
      </c>
      <c r="G303" s="6" t="n">
        <v>1</v>
      </c>
      <c r="H303" s="7" t="s">
        <v>404</v>
      </c>
      <c r="I303" s="7"/>
      <c r="J303" s="7"/>
      <c r="K303" s="7" t="s">
        <v>1943</v>
      </c>
      <c r="L303" s="9" t="n">
        <v>2566000</v>
      </c>
      <c r="M303" s="9"/>
      <c r="N303" s="9"/>
      <c r="O303" s="7" t="s">
        <v>817</v>
      </c>
      <c r="P303" s="7" t="s">
        <v>428</v>
      </c>
      <c r="Q303" s="7" t="s">
        <v>506</v>
      </c>
      <c r="R303" s="7" t="s">
        <v>1949</v>
      </c>
      <c r="S303" s="7" t="s">
        <v>1722</v>
      </c>
      <c r="T303" s="7"/>
      <c r="U303" s="10"/>
      <c r="V303" s="7"/>
      <c r="W303" s="7"/>
      <c r="X303" s="7"/>
      <c r="Y303" s="7"/>
      <c r="Z303" s="7"/>
      <c r="AA303" s="7"/>
      <c r="AB303" s="8"/>
      <c r="AC303" s="6"/>
      <c r="AD303" s="6"/>
      <c r="AE303" s="6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8"/>
      <c r="AR303" s="9" t="str">
        <f aca="false">IFERROR(VLOOKUP($X303,Lotes!$A:$E,5,FALSE())*$U303,"")</f>
        <v/>
      </c>
      <c r="AS303" s="9" t="n">
        <f aca="false">IF($L303="","",$L303*2.6)</f>
        <v>6671600</v>
      </c>
      <c r="AT303" s="9"/>
      <c r="AU303" s="9" t="n">
        <v>5516900</v>
      </c>
      <c r="AV303" s="9" t="n">
        <v>5516900</v>
      </c>
      <c r="AW303" s="9" t="n">
        <v>0</v>
      </c>
      <c r="AX303" s="7" t="s">
        <v>428</v>
      </c>
      <c r="AY303" s="7" t="s">
        <v>506</v>
      </c>
      <c r="AZ303" s="7"/>
      <c r="BA303" s="7" t="s">
        <v>1950</v>
      </c>
      <c r="BB303" s="7" t="s">
        <v>1951</v>
      </c>
      <c r="BC303" s="11" t="s">
        <v>1952</v>
      </c>
      <c r="BD303" s="7" t="s">
        <v>98</v>
      </c>
      <c r="BE303" s="11"/>
    </row>
    <row r="304" customFormat="false" ht="15" hidden="false" customHeight="false" outlineLevel="0" collapsed="false">
      <c r="A304" s="6" t="n">
        <v>303</v>
      </c>
      <c r="B304" s="7" t="s">
        <v>1924</v>
      </c>
      <c r="C304" s="7" t="s">
        <v>1953</v>
      </c>
      <c r="D304" s="8" t="n">
        <v>18</v>
      </c>
      <c r="E304" s="7" t="s">
        <v>386</v>
      </c>
      <c r="F304" s="7" t="s">
        <v>311</v>
      </c>
      <c r="G304" s="6" t="n">
        <v>1</v>
      </c>
      <c r="H304" s="7" t="s">
        <v>404</v>
      </c>
      <c r="I304" s="7"/>
      <c r="J304" s="7"/>
      <c r="K304" s="7" t="s">
        <v>88</v>
      </c>
      <c r="L304" s="9" t="n">
        <v>2566000</v>
      </c>
      <c r="M304" s="9"/>
      <c r="N304" s="9"/>
      <c r="O304" s="7" t="s">
        <v>817</v>
      </c>
      <c r="P304" s="7" t="s">
        <v>428</v>
      </c>
      <c r="Q304" s="7" t="s">
        <v>506</v>
      </c>
      <c r="R304" s="7" t="s">
        <v>1954</v>
      </c>
      <c r="S304" s="7" t="s">
        <v>1722</v>
      </c>
      <c r="T304" s="7"/>
      <c r="U304" s="10"/>
      <c r="V304" s="7"/>
      <c r="W304" s="7"/>
      <c r="X304" s="7"/>
      <c r="Y304" s="7"/>
      <c r="Z304" s="7"/>
      <c r="AA304" s="7"/>
      <c r="AB304" s="8"/>
      <c r="AC304" s="6"/>
      <c r="AD304" s="6"/>
      <c r="AE304" s="6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8"/>
      <c r="AR304" s="9" t="str">
        <f aca="false">IFERROR(VLOOKUP($X304,Lotes!$A:$E,5,FALSE())*$U304,"")</f>
        <v/>
      </c>
      <c r="AS304" s="9" t="n">
        <f aca="false">IF($L304="","",$L304*2.6)</f>
        <v>6671600</v>
      </c>
      <c r="AT304" s="9"/>
      <c r="AU304" s="9" t="n">
        <v>5516900</v>
      </c>
      <c r="AV304" s="9" t="n">
        <v>5516900</v>
      </c>
      <c r="AW304" s="9" t="n">
        <v>0</v>
      </c>
      <c r="AX304" s="7" t="s">
        <v>428</v>
      </c>
      <c r="AY304" s="7" t="s">
        <v>506</v>
      </c>
      <c r="AZ304" s="7"/>
      <c r="BA304" s="7" t="s">
        <v>1955</v>
      </c>
      <c r="BB304" s="7" t="s">
        <v>1956</v>
      </c>
      <c r="BC304" s="11" t="s">
        <v>1957</v>
      </c>
      <c r="BD304" s="7" t="s">
        <v>98</v>
      </c>
      <c r="BE304" s="11"/>
    </row>
    <row r="305" customFormat="false" ht="68.65" hidden="false" customHeight="false" outlineLevel="0" collapsed="false">
      <c r="A305" s="6" t="n">
        <v>304</v>
      </c>
      <c r="B305" s="7" t="s">
        <v>1924</v>
      </c>
      <c r="C305" s="7" t="s">
        <v>1958</v>
      </c>
      <c r="D305" s="8"/>
      <c r="E305" s="7" t="s">
        <v>85</v>
      </c>
      <c r="F305" s="7" t="s">
        <v>148</v>
      </c>
      <c r="G305" s="6" t="n">
        <v>1</v>
      </c>
      <c r="H305" s="7" t="s">
        <v>1052</v>
      </c>
      <c r="I305" s="7"/>
      <c r="J305" s="7"/>
      <c r="K305" s="7" t="s">
        <v>1422</v>
      </c>
      <c r="L305" s="9" t="n">
        <v>60000</v>
      </c>
      <c r="M305" s="9"/>
      <c r="N305" s="9"/>
      <c r="O305" s="7" t="s">
        <v>154</v>
      </c>
      <c r="P305" s="7" t="s">
        <v>89</v>
      </c>
      <c r="Q305" s="7" t="s">
        <v>155</v>
      </c>
      <c r="R305" s="7" t="s">
        <v>1959</v>
      </c>
      <c r="S305" s="7" t="s">
        <v>1722</v>
      </c>
      <c r="T305" s="7"/>
      <c r="U305" s="10"/>
      <c r="V305" s="7"/>
      <c r="W305" s="7"/>
      <c r="X305" s="7" t="s">
        <v>1960</v>
      </c>
      <c r="Y305" s="7"/>
      <c r="Z305" s="7"/>
      <c r="AA305" s="7"/>
      <c r="AB305" s="8"/>
      <c r="AC305" s="6"/>
      <c r="AD305" s="6"/>
      <c r="AE305" s="6"/>
      <c r="AF305" s="7" t="s">
        <v>1961</v>
      </c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8"/>
      <c r="AR305" s="9" t="n">
        <f aca="false">IFERROR(VLOOKUP($X305,Lotes!$A:$E,5,FALSE())*$U305,"")</f>
        <v>0</v>
      </c>
      <c r="AS305" s="9" t="n">
        <f aca="false">IF($L305="","",$L305*2.6)</f>
        <v>156000</v>
      </c>
      <c r="AT305" s="9"/>
      <c r="AU305" s="9" t="n">
        <v>180000</v>
      </c>
      <c r="AV305" s="9" t="n">
        <v>180000</v>
      </c>
      <c r="AW305" s="9" t="n">
        <v>180000</v>
      </c>
      <c r="AX305" s="7" t="s">
        <v>159</v>
      </c>
      <c r="AY305" s="7" t="s">
        <v>160</v>
      </c>
      <c r="AZ305" s="7"/>
      <c r="BA305" s="7" t="s">
        <v>1962</v>
      </c>
      <c r="BB305" s="7" t="s">
        <v>1963</v>
      </c>
      <c r="BC305" s="11" t="s">
        <v>1964</v>
      </c>
      <c r="BD305" s="7" t="s">
        <v>164</v>
      </c>
      <c r="BE305" s="11" t="s">
        <v>165</v>
      </c>
    </row>
    <row r="306" customFormat="false" ht="68.65" hidden="false" customHeight="false" outlineLevel="0" collapsed="false">
      <c r="A306" s="6" t="n">
        <v>305</v>
      </c>
      <c r="B306" s="7" t="s">
        <v>1924</v>
      </c>
      <c r="C306" s="7" t="s">
        <v>1958</v>
      </c>
      <c r="D306" s="8"/>
      <c r="E306" s="7" t="s">
        <v>85</v>
      </c>
      <c r="F306" s="7" t="s">
        <v>148</v>
      </c>
      <c r="G306" s="6" t="n">
        <v>2</v>
      </c>
      <c r="H306" s="7" t="s">
        <v>1052</v>
      </c>
      <c r="I306" s="7"/>
      <c r="J306" s="7"/>
      <c r="K306" s="7" t="s">
        <v>1422</v>
      </c>
      <c r="L306" s="9" t="n">
        <v>60000</v>
      </c>
      <c r="M306" s="9"/>
      <c r="N306" s="9"/>
      <c r="O306" s="7" t="s">
        <v>154</v>
      </c>
      <c r="P306" s="7" t="s">
        <v>89</v>
      </c>
      <c r="Q306" s="7" t="s">
        <v>155</v>
      </c>
      <c r="R306" s="7" t="s">
        <v>1965</v>
      </c>
      <c r="S306" s="7" t="s">
        <v>1722</v>
      </c>
      <c r="T306" s="7"/>
      <c r="U306" s="10"/>
      <c r="V306" s="7"/>
      <c r="W306" s="7"/>
      <c r="X306" s="7" t="s">
        <v>1960</v>
      </c>
      <c r="Y306" s="7"/>
      <c r="Z306" s="7"/>
      <c r="AA306" s="7"/>
      <c r="AB306" s="8"/>
      <c r="AC306" s="6"/>
      <c r="AD306" s="6"/>
      <c r="AE306" s="6"/>
      <c r="AF306" s="7" t="s">
        <v>1961</v>
      </c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8"/>
      <c r="AR306" s="9" t="n">
        <f aca="false">IFERROR(VLOOKUP($X306,Lotes!$A:$E,5,FALSE())*$U306,"")</f>
        <v>0</v>
      </c>
      <c r="AS306" s="9" t="n">
        <f aca="false">IF($L306="","",$L306*2.6)</f>
        <v>156000</v>
      </c>
      <c r="AT306" s="9"/>
      <c r="AU306" s="9" t="n">
        <v>180000</v>
      </c>
      <c r="AV306" s="9" t="n">
        <v>180000</v>
      </c>
      <c r="AW306" s="9" t="n">
        <v>180000</v>
      </c>
      <c r="AX306" s="7" t="s">
        <v>159</v>
      </c>
      <c r="AY306" s="7" t="s">
        <v>160</v>
      </c>
      <c r="AZ306" s="7"/>
      <c r="BA306" s="7" t="s">
        <v>1966</v>
      </c>
      <c r="BB306" s="7" t="s">
        <v>1967</v>
      </c>
      <c r="BC306" s="11" t="s">
        <v>1968</v>
      </c>
      <c r="BD306" s="7" t="s">
        <v>164</v>
      </c>
      <c r="BE306" s="11" t="s">
        <v>165</v>
      </c>
    </row>
    <row r="307" customFormat="false" ht="68.65" hidden="false" customHeight="false" outlineLevel="0" collapsed="false">
      <c r="A307" s="6" t="n">
        <v>306</v>
      </c>
      <c r="B307" s="7" t="s">
        <v>1924</v>
      </c>
      <c r="C307" s="7" t="s">
        <v>1969</v>
      </c>
      <c r="D307" s="8" t="n">
        <v>0.04</v>
      </c>
      <c r="E307" s="7" t="s">
        <v>386</v>
      </c>
      <c r="F307" s="7" t="s">
        <v>680</v>
      </c>
      <c r="G307" s="6" t="n">
        <v>5</v>
      </c>
      <c r="H307" s="7" t="s">
        <v>101</v>
      </c>
      <c r="I307" s="7"/>
      <c r="J307" s="7"/>
      <c r="K307" s="7" t="s">
        <v>88</v>
      </c>
      <c r="L307" s="9" t="n">
        <v>165000</v>
      </c>
      <c r="M307" s="9"/>
      <c r="N307" s="9"/>
      <c r="O307" s="7" t="s">
        <v>41</v>
      </c>
      <c r="P307" s="7" t="s">
        <v>109</v>
      </c>
      <c r="Q307" s="7" t="s">
        <v>90</v>
      </c>
      <c r="R307" s="7" t="s">
        <v>1970</v>
      </c>
      <c r="S307" s="7" t="s">
        <v>1722</v>
      </c>
      <c r="T307" s="7" t="s">
        <v>111</v>
      </c>
      <c r="U307" s="10"/>
      <c r="V307" s="7"/>
      <c r="W307" s="7"/>
      <c r="X307" s="7"/>
      <c r="Y307" s="7"/>
      <c r="Z307" s="7"/>
      <c r="AA307" s="7"/>
      <c r="AB307" s="8"/>
      <c r="AC307" s="6"/>
      <c r="AD307" s="6"/>
      <c r="AE307" s="6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8"/>
      <c r="AR307" s="9" t="str">
        <f aca="false">IFERROR(VLOOKUP($X307,Lotes!$A:$E,5,FALSE())*$U307,"")</f>
        <v/>
      </c>
      <c r="AS307" s="9" t="n">
        <f aca="false">IF($L307="","",$L307*2.6)</f>
        <v>429000</v>
      </c>
      <c r="AT307" s="9"/>
      <c r="AU307" s="9" t="n">
        <v>495000</v>
      </c>
      <c r="AV307" s="9" t="n">
        <v>495000</v>
      </c>
      <c r="AW307" s="9" t="n">
        <v>495000</v>
      </c>
      <c r="AX307" s="7" t="s">
        <v>89</v>
      </c>
      <c r="AY307" s="7" t="s">
        <v>112</v>
      </c>
      <c r="AZ307" s="7"/>
      <c r="BA307" s="7" t="s">
        <v>1971</v>
      </c>
      <c r="BB307" s="7" t="s">
        <v>1972</v>
      </c>
      <c r="BC307" s="11" t="s">
        <v>1973</v>
      </c>
      <c r="BD307" s="7" t="s">
        <v>98</v>
      </c>
      <c r="BE307" s="11" t="s">
        <v>1974</v>
      </c>
    </row>
    <row r="308" customFormat="false" ht="23.85" hidden="false" customHeight="false" outlineLevel="0" collapsed="false">
      <c r="A308" s="6" t="n">
        <v>307</v>
      </c>
      <c r="B308" s="7" t="s">
        <v>1924</v>
      </c>
      <c r="C308" s="7" t="s">
        <v>1975</v>
      </c>
      <c r="D308" s="8" t="n">
        <v>0.88</v>
      </c>
      <c r="E308" s="7" t="s">
        <v>386</v>
      </c>
      <c r="F308" s="7" t="s">
        <v>765</v>
      </c>
      <c r="G308" s="6" t="n">
        <v>1</v>
      </c>
      <c r="H308" s="7" t="s">
        <v>1976</v>
      </c>
      <c r="I308" s="7"/>
      <c r="J308" s="7"/>
      <c r="K308" s="7" t="s">
        <v>88</v>
      </c>
      <c r="L308" s="9" t="n">
        <v>1011494</v>
      </c>
      <c r="M308" s="9"/>
      <c r="N308" s="9"/>
      <c r="O308" s="7" t="s">
        <v>41</v>
      </c>
      <c r="P308" s="7" t="s">
        <v>657</v>
      </c>
      <c r="Q308" s="7" t="s">
        <v>90</v>
      </c>
      <c r="R308" s="7" t="s">
        <v>1977</v>
      </c>
      <c r="S308" s="7" t="s">
        <v>1722</v>
      </c>
      <c r="T308" s="7" t="s">
        <v>93</v>
      </c>
      <c r="U308" s="10"/>
      <c r="V308" s="7"/>
      <c r="W308" s="7"/>
      <c r="X308" s="7" t="s">
        <v>1978</v>
      </c>
      <c r="Y308" s="7"/>
      <c r="Z308" s="7"/>
      <c r="AA308" s="7"/>
      <c r="AB308" s="8"/>
      <c r="AC308" s="6"/>
      <c r="AD308" s="6"/>
      <c r="AE308" s="6"/>
      <c r="AF308" s="7" t="s">
        <v>583</v>
      </c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8"/>
      <c r="AR308" s="9" t="n">
        <f aca="false">IFERROR(VLOOKUP($X308,Lotes!$A:$E,5,FALSE())*$U308,"")</f>
        <v>0</v>
      </c>
      <c r="AS308" s="9" t="n">
        <f aca="false">IF($L308="","",$L308*2.6)</f>
        <v>2629884.4</v>
      </c>
      <c r="AT308" s="9" t="n">
        <v>3797932.605</v>
      </c>
      <c r="AU308" s="9" t="n">
        <v>4045000</v>
      </c>
      <c r="AV308" s="9" t="n">
        <v>2750600</v>
      </c>
      <c r="AW308" s="9" t="n">
        <v>0</v>
      </c>
      <c r="AX308" s="7" t="s">
        <v>657</v>
      </c>
      <c r="AY308" s="7" t="s">
        <v>94</v>
      </c>
      <c r="AZ308" s="7"/>
      <c r="BA308" s="7" t="s">
        <v>1979</v>
      </c>
      <c r="BB308" s="7" t="s">
        <v>1980</v>
      </c>
      <c r="BC308" s="11" t="s">
        <v>1981</v>
      </c>
      <c r="BD308" s="7" t="s">
        <v>984</v>
      </c>
      <c r="BE308" s="11" t="s">
        <v>1982</v>
      </c>
    </row>
    <row r="309" customFormat="false" ht="23.85" hidden="false" customHeight="false" outlineLevel="0" collapsed="false">
      <c r="A309" s="6" t="n">
        <v>308</v>
      </c>
      <c r="B309" s="7" t="s">
        <v>1983</v>
      </c>
      <c r="C309" s="7" t="s">
        <v>1984</v>
      </c>
      <c r="D309" s="8" t="n">
        <v>0.89</v>
      </c>
      <c r="E309" s="7" t="s">
        <v>1985</v>
      </c>
      <c r="F309" s="7" t="s">
        <v>680</v>
      </c>
      <c r="G309" s="6" t="n">
        <v>1</v>
      </c>
      <c r="H309" s="7" t="s">
        <v>200</v>
      </c>
      <c r="I309" s="7"/>
      <c r="J309" s="7"/>
      <c r="K309" s="7" t="s">
        <v>88</v>
      </c>
      <c r="L309" s="9" t="n">
        <v>1022989</v>
      </c>
      <c r="M309" s="9"/>
      <c r="N309" s="9"/>
      <c r="O309" s="7" t="s">
        <v>154</v>
      </c>
      <c r="P309" s="7" t="s">
        <v>657</v>
      </c>
      <c r="Q309" s="7" t="s">
        <v>90</v>
      </c>
      <c r="R309" s="7" t="s">
        <v>1986</v>
      </c>
      <c r="S309" s="7" t="s">
        <v>1722</v>
      </c>
      <c r="T309" s="7" t="s">
        <v>93</v>
      </c>
      <c r="U309" s="10"/>
      <c r="V309" s="7"/>
      <c r="W309" s="7"/>
      <c r="X309" s="7" t="s">
        <v>1978</v>
      </c>
      <c r="Y309" s="7"/>
      <c r="Z309" s="7"/>
      <c r="AA309" s="7"/>
      <c r="AB309" s="8"/>
      <c r="AC309" s="6"/>
      <c r="AD309" s="6"/>
      <c r="AE309" s="6"/>
      <c r="AF309" s="7" t="s">
        <v>583</v>
      </c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8"/>
      <c r="AR309" s="9" t="n">
        <f aca="false">IFERROR(VLOOKUP($X309,Lotes!$A:$E,5,FALSE())*$U309,"")</f>
        <v>0</v>
      </c>
      <c r="AS309" s="9" t="n">
        <f aca="false">IF($L309="","",$L309*2.6)</f>
        <v>2659771.4</v>
      </c>
      <c r="AT309" s="9" t="n">
        <v>3814354.034</v>
      </c>
      <c r="AU309" s="9" t="n">
        <v>3069000</v>
      </c>
      <c r="AV309" s="9" t="n">
        <v>2200166.1</v>
      </c>
      <c r="AW309" s="9" t="n">
        <v>61.1000000000931</v>
      </c>
      <c r="AX309" s="7" t="s">
        <v>657</v>
      </c>
      <c r="AY309" s="7" t="s">
        <v>94</v>
      </c>
      <c r="AZ309" s="7"/>
      <c r="BA309" s="7" t="s">
        <v>1987</v>
      </c>
      <c r="BB309" s="7" t="s">
        <v>1988</v>
      </c>
      <c r="BC309" s="11" t="s">
        <v>1989</v>
      </c>
      <c r="BD309" s="7" t="s">
        <v>984</v>
      </c>
      <c r="BE309" s="11" t="s">
        <v>1990</v>
      </c>
    </row>
    <row r="310" customFormat="false" ht="68.65" hidden="false" customHeight="false" outlineLevel="0" collapsed="false">
      <c r="A310" s="6" t="n">
        <v>309</v>
      </c>
      <c r="B310" s="7" t="s">
        <v>1983</v>
      </c>
      <c r="C310" s="7" t="s">
        <v>1991</v>
      </c>
      <c r="D310" s="8" t="n">
        <v>1.22</v>
      </c>
      <c r="E310" s="7" t="s">
        <v>1985</v>
      </c>
      <c r="F310" s="7" t="s">
        <v>680</v>
      </c>
      <c r="G310" s="6" t="n">
        <v>1</v>
      </c>
      <c r="H310" s="7" t="s">
        <v>200</v>
      </c>
      <c r="I310" s="7"/>
      <c r="J310" s="7"/>
      <c r="K310" s="7" t="s">
        <v>88</v>
      </c>
      <c r="L310" s="9" t="n">
        <v>1402299</v>
      </c>
      <c r="M310" s="9"/>
      <c r="N310" s="9"/>
      <c r="O310" s="7" t="s">
        <v>154</v>
      </c>
      <c r="P310" s="7" t="s">
        <v>89</v>
      </c>
      <c r="Q310" s="7" t="s">
        <v>155</v>
      </c>
      <c r="R310" s="7" t="s">
        <v>1992</v>
      </c>
      <c r="S310" s="7" t="s">
        <v>1722</v>
      </c>
      <c r="T310" s="7"/>
      <c r="U310" s="10"/>
      <c r="V310" s="7"/>
      <c r="W310" s="7"/>
      <c r="X310" s="7" t="s">
        <v>1978</v>
      </c>
      <c r="Y310" s="7"/>
      <c r="Z310" s="7"/>
      <c r="AA310" s="7"/>
      <c r="AB310" s="8"/>
      <c r="AC310" s="6"/>
      <c r="AD310" s="6"/>
      <c r="AE310" s="6"/>
      <c r="AF310" s="7" t="s">
        <v>583</v>
      </c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8"/>
      <c r="AR310" s="9" t="n">
        <f aca="false">IFERROR(VLOOKUP($X310,Lotes!$A:$E,5,FALSE())*$U310,"")</f>
        <v>0</v>
      </c>
      <c r="AS310" s="9" t="n">
        <f aca="false">IF($L310="","",$L310*2.6)</f>
        <v>3645977.4</v>
      </c>
      <c r="AT310" s="9" t="n">
        <v>4356225.462</v>
      </c>
      <c r="AU310" s="9" t="n">
        <v>4209000</v>
      </c>
      <c r="AV310" s="9" t="n">
        <v>4209000</v>
      </c>
      <c r="AW310" s="9" t="n">
        <v>4209000</v>
      </c>
      <c r="AX310" s="7" t="s">
        <v>159</v>
      </c>
      <c r="AY310" s="7" t="s">
        <v>160</v>
      </c>
      <c r="AZ310" s="7"/>
      <c r="BA310" s="7" t="s">
        <v>1993</v>
      </c>
      <c r="BB310" s="7" t="s">
        <v>1994</v>
      </c>
      <c r="BC310" s="11" t="s">
        <v>1995</v>
      </c>
      <c r="BD310" s="7" t="s">
        <v>164</v>
      </c>
      <c r="BE310" s="11" t="s">
        <v>1996</v>
      </c>
    </row>
    <row r="311" customFormat="false" ht="57.45" hidden="false" customHeight="false" outlineLevel="0" collapsed="false">
      <c r="A311" s="6" t="n">
        <v>310</v>
      </c>
      <c r="B311" s="7" t="s">
        <v>1983</v>
      </c>
      <c r="C311" s="7" t="s">
        <v>1997</v>
      </c>
      <c r="D311" s="8" t="n">
        <v>1.09</v>
      </c>
      <c r="E311" s="7" t="s">
        <v>1985</v>
      </c>
      <c r="F311" s="7" t="s">
        <v>680</v>
      </c>
      <c r="G311" s="6" t="n">
        <v>1</v>
      </c>
      <c r="H311" s="7" t="s">
        <v>200</v>
      </c>
      <c r="I311" s="7"/>
      <c r="J311" s="7"/>
      <c r="K311" s="7" t="s">
        <v>88</v>
      </c>
      <c r="L311" s="9" t="n">
        <v>1252874</v>
      </c>
      <c r="M311" s="9"/>
      <c r="N311" s="9"/>
      <c r="O311" s="7" t="s">
        <v>154</v>
      </c>
      <c r="P311" s="7" t="s">
        <v>89</v>
      </c>
      <c r="Q311" s="7" t="s">
        <v>155</v>
      </c>
      <c r="R311" s="7" t="s">
        <v>1998</v>
      </c>
      <c r="S311" s="7" t="s">
        <v>1722</v>
      </c>
      <c r="T311" s="7"/>
      <c r="U311" s="10"/>
      <c r="V311" s="7"/>
      <c r="W311" s="7"/>
      <c r="X311" s="7" t="s">
        <v>1978</v>
      </c>
      <c r="Y311" s="7"/>
      <c r="Z311" s="7"/>
      <c r="AA311" s="7"/>
      <c r="AB311" s="8"/>
      <c r="AC311" s="6"/>
      <c r="AD311" s="6"/>
      <c r="AE311" s="6"/>
      <c r="AF311" s="7" t="s">
        <v>583</v>
      </c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8"/>
      <c r="AR311" s="9" t="n">
        <f aca="false">IFERROR(VLOOKUP($X311,Lotes!$A:$E,5,FALSE())*$U311,"")</f>
        <v>0</v>
      </c>
      <c r="AS311" s="9" t="n">
        <f aca="false">IF($L311="","",$L311*2.6)</f>
        <v>3257472.4</v>
      </c>
      <c r="AT311" s="9" t="n">
        <v>4142761.176</v>
      </c>
      <c r="AU311" s="9" t="n">
        <v>3759000</v>
      </c>
      <c r="AV311" s="9" t="n">
        <v>3759000</v>
      </c>
      <c r="AW311" s="9" t="n">
        <v>3759000</v>
      </c>
      <c r="AX311" s="7" t="s">
        <v>159</v>
      </c>
      <c r="AY311" s="7" t="s">
        <v>160</v>
      </c>
      <c r="AZ311" s="7"/>
      <c r="BA311" s="7" t="s">
        <v>1999</v>
      </c>
      <c r="BB311" s="7" t="s">
        <v>2000</v>
      </c>
      <c r="BC311" s="11" t="s">
        <v>2001</v>
      </c>
      <c r="BD311" s="7" t="s">
        <v>164</v>
      </c>
      <c r="BE311" s="11" t="s">
        <v>1067</v>
      </c>
    </row>
    <row r="312" customFormat="false" ht="46.25" hidden="false" customHeight="false" outlineLevel="0" collapsed="false">
      <c r="A312" s="6" t="n">
        <v>311</v>
      </c>
      <c r="B312" s="7" t="s">
        <v>1983</v>
      </c>
      <c r="C312" s="7" t="s">
        <v>2002</v>
      </c>
      <c r="D312" s="8" t="n">
        <v>0.54</v>
      </c>
      <c r="E312" s="7" t="s">
        <v>1985</v>
      </c>
      <c r="F312" s="7" t="s">
        <v>2003</v>
      </c>
      <c r="G312" s="6" t="n">
        <v>1</v>
      </c>
      <c r="H312" s="7" t="s">
        <v>200</v>
      </c>
      <c r="I312" s="7" t="s">
        <v>271</v>
      </c>
      <c r="J312" s="7" t="s">
        <v>2004</v>
      </c>
      <c r="K312" s="7" t="s">
        <v>88</v>
      </c>
      <c r="L312" s="9" t="n">
        <v>620690</v>
      </c>
      <c r="M312" s="9"/>
      <c r="N312" s="9"/>
      <c r="O312" s="7" t="s">
        <v>154</v>
      </c>
      <c r="P312" s="7" t="s">
        <v>89</v>
      </c>
      <c r="Q312" s="7" t="s">
        <v>155</v>
      </c>
      <c r="R312" s="7" t="s">
        <v>2005</v>
      </c>
      <c r="S312" s="7" t="s">
        <v>1722</v>
      </c>
      <c r="T312" s="7"/>
      <c r="U312" s="10"/>
      <c r="V312" s="7"/>
      <c r="W312" s="7"/>
      <c r="X312" s="7" t="s">
        <v>1978</v>
      </c>
      <c r="Y312" s="7"/>
      <c r="Z312" s="7"/>
      <c r="AA312" s="7"/>
      <c r="AB312" s="8"/>
      <c r="AC312" s="6"/>
      <c r="AD312" s="6"/>
      <c r="AE312" s="6"/>
      <c r="AF312" s="7" t="s">
        <v>583</v>
      </c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8"/>
      <c r="AR312" s="9" t="n">
        <f aca="false">IFERROR(VLOOKUP($X312,Lotes!$A:$E,5,FALSE())*$U312,"")</f>
        <v>0</v>
      </c>
      <c r="AS312" s="9" t="n">
        <f aca="false">IF($L312="","",$L312*2.6)</f>
        <v>1613794</v>
      </c>
      <c r="AT312" s="9" t="n">
        <v>3239641.176</v>
      </c>
      <c r="AU312" s="9" t="n">
        <v>1863000</v>
      </c>
      <c r="AV312" s="9" t="n">
        <v>1863000</v>
      </c>
      <c r="AW312" s="9" t="n">
        <v>1863000</v>
      </c>
      <c r="AX312" s="7" t="s">
        <v>159</v>
      </c>
      <c r="AY312" s="7" t="s">
        <v>160</v>
      </c>
      <c r="AZ312" s="7"/>
      <c r="BA312" s="7" t="s">
        <v>2006</v>
      </c>
      <c r="BB312" s="7" t="s">
        <v>2007</v>
      </c>
      <c r="BC312" s="11" t="s">
        <v>2008</v>
      </c>
      <c r="BD312" s="7" t="s">
        <v>164</v>
      </c>
      <c r="BE312" s="11" t="s">
        <v>794</v>
      </c>
    </row>
    <row r="313" customFormat="false" ht="46.25" hidden="false" customHeight="false" outlineLevel="0" collapsed="false">
      <c r="A313" s="6" t="n">
        <v>312</v>
      </c>
      <c r="B313" s="7" t="s">
        <v>1983</v>
      </c>
      <c r="C313" s="7" t="s">
        <v>2009</v>
      </c>
      <c r="D313" s="8" t="n">
        <v>1.22</v>
      </c>
      <c r="E313" s="7" t="s">
        <v>1985</v>
      </c>
      <c r="F313" s="7" t="s">
        <v>680</v>
      </c>
      <c r="G313" s="6" t="n">
        <v>1</v>
      </c>
      <c r="H313" s="7" t="s">
        <v>87</v>
      </c>
      <c r="I313" s="7" t="s">
        <v>271</v>
      </c>
      <c r="J313" s="7" t="s">
        <v>2010</v>
      </c>
      <c r="K313" s="7" t="s">
        <v>88</v>
      </c>
      <c r="L313" s="9" t="n">
        <v>1100000</v>
      </c>
      <c r="M313" s="9"/>
      <c r="N313" s="9"/>
      <c r="O313" s="7" t="s">
        <v>154</v>
      </c>
      <c r="P313" s="7" t="s">
        <v>89</v>
      </c>
      <c r="Q313" s="7" t="s">
        <v>155</v>
      </c>
      <c r="R313" s="7" t="s">
        <v>2011</v>
      </c>
      <c r="S313" s="7" t="s">
        <v>1722</v>
      </c>
      <c r="T313" s="7"/>
      <c r="U313" s="10"/>
      <c r="V313" s="7"/>
      <c r="W313" s="7"/>
      <c r="X313" s="7" t="s">
        <v>1978</v>
      </c>
      <c r="Y313" s="7"/>
      <c r="Z313" s="7"/>
      <c r="AA313" s="7"/>
      <c r="AB313" s="8"/>
      <c r="AC313" s="6"/>
      <c r="AD313" s="6"/>
      <c r="AE313" s="6"/>
      <c r="AF313" s="7" t="s">
        <v>583</v>
      </c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8"/>
      <c r="AR313" s="9" t="n">
        <f aca="false">IFERROR(VLOOKUP($X313,Lotes!$A:$E,5,FALSE())*$U313,"")</f>
        <v>0</v>
      </c>
      <c r="AS313" s="9" t="n">
        <f aca="false">IF($L313="","",$L313*2.6)</f>
        <v>2860000</v>
      </c>
      <c r="AT313" s="9" t="n">
        <v>3924369.748</v>
      </c>
      <c r="AU313" s="9" t="n">
        <v>3504000</v>
      </c>
      <c r="AV313" s="9" t="n">
        <v>3504000</v>
      </c>
      <c r="AW313" s="9" t="n">
        <v>3504000</v>
      </c>
      <c r="AX313" s="7" t="s">
        <v>159</v>
      </c>
      <c r="AY313" s="7" t="s">
        <v>160</v>
      </c>
      <c r="AZ313" s="7"/>
      <c r="BA313" s="7" t="s">
        <v>2012</v>
      </c>
      <c r="BB313" s="7" t="s">
        <v>2013</v>
      </c>
      <c r="BC313" s="11" t="s">
        <v>2014</v>
      </c>
      <c r="BD313" s="7" t="s">
        <v>164</v>
      </c>
      <c r="BE313" s="11" t="s">
        <v>794</v>
      </c>
    </row>
    <row r="314" customFormat="false" ht="46.25" hidden="false" customHeight="false" outlineLevel="0" collapsed="false">
      <c r="A314" s="6" t="n">
        <v>313</v>
      </c>
      <c r="B314" s="7" t="s">
        <v>1983</v>
      </c>
      <c r="C314" s="7" t="s">
        <v>2015</v>
      </c>
      <c r="D314" s="8" t="n">
        <v>1.53</v>
      </c>
      <c r="E314" s="7" t="s">
        <v>1985</v>
      </c>
      <c r="F314" s="7" t="s">
        <v>680</v>
      </c>
      <c r="G314" s="6" t="n">
        <v>1</v>
      </c>
      <c r="H314" s="7" t="s">
        <v>87</v>
      </c>
      <c r="I314" s="7" t="s">
        <v>271</v>
      </c>
      <c r="J314" s="7" t="s">
        <v>2010</v>
      </c>
      <c r="K314" s="7" t="s">
        <v>88</v>
      </c>
      <c r="L314" s="9" t="n">
        <v>1400000</v>
      </c>
      <c r="M314" s="9"/>
      <c r="N314" s="9"/>
      <c r="O314" s="7" t="s">
        <v>154</v>
      </c>
      <c r="P314" s="7" t="s">
        <v>89</v>
      </c>
      <c r="Q314" s="7" t="s">
        <v>155</v>
      </c>
      <c r="R314" s="7" t="s">
        <v>2016</v>
      </c>
      <c r="S314" s="7" t="s">
        <v>1722</v>
      </c>
      <c r="T314" s="7"/>
      <c r="U314" s="10"/>
      <c r="V314" s="7"/>
      <c r="W314" s="7"/>
      <c r="X314" s="7" t="s">
        <v>1978</v>
      </c>
      <c r="Y314" s="7"/>
      <c r="Z314" s="7"/>
      <c r="AA314" s="7"/>
      <c r="AB314" s="8"/>
      <c r="AC314" s="6"/>
      <c r="AD314" s="6"/>
      <c r="AE314" s="6"/>
      <c r="AF314" s="7" t="s">
        <v>583</v>
      </c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8"/>
      <c r="AR314" s="9" t="n">
        <f aca="false">IFERROR(VLOOKUP($X314,Lotes!$A:$E,5,FALSE())*$U314,"")</f>
        <v>0</v>
      </c>
      <c r="AS314" s="9" t="n">
        <f aca="false">IF($L314="","",$L314*2.6)</f>
        <v>3640000</v>
      </c>
      <c r="AT314" s="9" t="n">
        <v>4352941.176</v>
      </c>
      <c r="AU314" s="9" t="n">
        <v>3504000</v>
      </c>
      <c r="AV314" s="9" t="n">
        <v>3504000</v>
      </c>
      <c r="AW314" s="9" t="n">
        <v>3504000</v>
      </c>
      <c r="AX314" s="7" t="s">
        <v>159</v>
      </c>
      <c r="AY314" s="7" t="s">
        <v>160</v>
      </c>
      <c r="AZ314" s="7"/>
      <c r="BA314" s="7" t="s">
        <v>2017</v>
      </c>
      <c r="BB314" s="7" t="s">
        <v>2018</v>
      </c>
      <c r="BC314" s="11" t="s">
        <v>2019</v>
      </c>
      <c r="BD314" s="7" t="s">
        <v>164</v>
      </c>
      <c r="BE314" s="11" t="s">
        <v>794</v>
      </c>
    </row>
    <row r="315" customFormat="false" ht="68.65" hidden="false" customHeight="false" outlineLevel="0" collapsed="false">
      <c r="A315" s="6" t="n">
        <v>314</v>
      </c>
      <c r="B315" s="7" t="s">
        <v>1983</v>
      </c>
      <c r="C315" s="7" t="s">
        <v>2020</v>
      </c>
      <c r="D315" s="8" t="n">
        <v>13</v>
      </c>
      <c r="E315" s="7" t="s">
        <v>85</v>
      </c>
      <c r="F315" s="7" t="s">
        <v>1051</v>
      </c>
      <c r="G315" s="6" t="n">
        <v>1</v>
      </c>
      <c r="H315" s="7" t="s">
        <v>1052</v>
      </c>
      <c r="I315" s="7"/>
      <c r="J315" s="7"/>
      <c r="K315" s="7" t="s">
        <v>1943</v>
      </c>
      <c r="L315" s="9" t="n">
        <v>480000</v>
      </c>
      <c r="M315" s="9"/>
      <c r="N315" s="9"/>
      <c r="O315" s="7" t="s">
        <v>154</v>
      </c>
      <c r="P315" s="7" t="s">
        <v>89</v>
      </c>
      <c r="Q315" s="7" t="s">
        <v>155</v>
      </c>
      <c r="R315" s="7" t="s">
        <v>2021</v>
      </c>
      <c r="S315" s="7" t="s">
        <v>1722</v>
      </c>
      <c r="T315" s="7"/>
      <c r="U315" s="10"/>
      <c r="V315" s="7"/>
      <c r="W315" s="7"/>
      <c r="X315" s="7" t="s">
        <v>2022</v>
      </c>
      <c r="Y315" s="7"/>
      <c r="Z315" s="7"/>
      <c r="AA315" s="7"/>
      <c r="AB315" s="8"/>
      <c r="AC315" s="6"/>
      <c r="AD315" s="6"/>
      <c r="AE315" s="6"/>
      <c r="AF315" s="7" t="s">
        <v>2023</v>
      </c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8" t="n">
        <v>4</v>
      </c>
      <c r="AR315" s="9" t="n">
        <f aca="false">IFERROR(VLOOKUP($X315,Lotes!$A:$E,5,FALSE())*$U315,"")</f>
        <v>0</v>
      </c>
      <c r="AS315" s="9" t="n">
        <f aca="false">IF($L315="","",$L315*2.6)</f>
        <v>1248000</v>
      </c>
      <c r="AT315" s="9"/>
      <c r="AU315" s="9" t="n">
        <v>1440000</v>
      </c>
      <c r="AV315" s="9" t="n">
        <v>1440000</v>
      </c>
      <c r="AW315" s="9" t="n">
        <v>1440000</v>
      </c>
      <c r="AX315" s="7" t="s">
        <v>159</v>
      </c>
      <c r="AY315" s="7" t="s">
        <v>160</v>
      </c>
      <c r="AZ315" s="7"/>
      <c r="BA315" s="7" t="s">
        <v>2024</v>
      </c>
      <c r="BB315" s="7" t="s">
        <v>2025</v>
      </c>
      <c r="BC315" s="11" t="s">
        <v>2026</v>
      </c>
      <c r="BD315" s="7" t="s">
        <v>164</v>
      </c>
      <c r="BE315" s="11" t="s">
        <v>2027</v>
      </c>
    </row>
    <row r="316" customFormat="false" ht="46.25" hidden="false" customHeight="false" outlineLevel="0" collapsed="false">
      <c r="A316" s="6" t="n">
        <v>315</v>
      </c>
      <c r="B316" s="7" t="s">
        <v>1983</v>
      </c>
      <c r="C316" s="7" t="s">
        <v>2028</v>
      </c>
      <c r="D316" s="8"/>
      <c r="E316" s="7" t="s">
        <v>85</v>
      </c>
      <c r="F316" s="7" t="s">
        <v>148</v>
      </c>
      <c r="G316" s="6" t="n">
        <v>1</v>
      </c>
      <c r="H316" s="7" t="s">
        <v>101</v>
      </c>
      <c r="I316" s="7"/>
      <c r="J316" s="7"/>
      <c r="K316" s="7" t="s">
        <v>907</v>
      </c>
      <c r="L316" s="9" t="n">
        <v>190000</v>
      </c>
      <c r="M316" s="9"/>
      <c r="N316" s="9"/>
      <c r="O316" s="7" t="s">
        <v>154</v>
      </c>
      <c r="P316" s="7" t="s">
        <v>89</v>
      </c>
      <c r="Q316" s="7" t="s">
        <v>155</v>
      </c>
      <c r="R316" s="7" t="s">
        <v>2029</v>
      </c>
      <c r="S316" s="7" t="s">
        <v>1722</v>
      </c>
      <c r="T316" s="7"/>
      <c r="U316" s="10"/>
      <c r="V316" s="7"/>
      <c r="W316" s="7"/>
      <c r="X316" s="7"/>
      <c r="Y316" s="7"/>
      <c r="Z316" s="7"/>
      <c r="AA316" s="7"/>
      <c r="AB316" s="8"/>
      <c r="AC316" s="6"/>
      <c r="AD316" s="6"/>
      <c r="AE316" s="6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8"/>
      <c r="AR316" s="9" t="str">
        <f aca="false">IFERROR(VLOOKUP($X316,Lotes!$A:$E,5,FALSE())*$U316,"")</f>
        <v/>
      </c>
      <c r="AS316" s="9" t="n">
        <f aca="false">IF($L316="","",$L316*2.6)</f>
        <v>494000</v>
      </c>
      <c r="AT316" s="9"/>
      <c r="AU316" s="9" t="n">
        <v>210000</v>
      </c>
      <c r="AV316" s="9" t="n">
        <v>210000</v>
      </c>
      <c r="AW316" s="9" t="n">
        <v>210000</v>
      </c>
      <c r="AX316" s="7" t="s">
        <v>159</v>
      </c>
      <c r="AY316" s="7" t="s">
        <v>160</v>
      </c>
      <c r="AZ316" s="7"/>
      <c r="BA316" s="7" t="s">
        <v>2030</v>
      </c>
      <c r="BB316" s="7" t="s">
        <v>2031</v>
      </c>
      <c r="BC316" s="11" t="s">
        <v>2032</v>
      </c>
      <c r="BD316" s="7" t="s">
        <v>98</v>
      </c>
      <c r="BE316" s="11" t="s">
        <v>794</v>
      </c>
    </row>
    <row r="317" customFormat="false" ht="15" hidden="false" customHeight="false" outlineLevel="0" collapsed="false">
      <c r="A317" s="6" t="n">
        <v>316</v>
      </c>
      <c r="B317" s="7" t="s">
        <v>1983</v>
      </c>
      <c r="C317" s="7" t="s">
        <v>2033</v>
      </c>
      <c r="D317" s="8"/>
      <c r="E317" s="7" t="s">
        <v>245</v>
      </c>
      <c r="F317" s="7" t="s">
        <v>148</v>
      </c>
      <c r="G317" s="6" t="n">
        <v>1</v>
      </c>
      <c r="H317" s="7" t="s">
        <v>87</v>
      </c>
      <c r="I317" s="7"/>
      <c r="J317" s="7"/>
      <c r="K317" s="7" t="s">
        <v>1422</v>
      </c>
      <c r="L317" s="9" t="n">
        <v>380000</v>
      </c>
      <c r="M317" s="9"/>
      <c r="N317" s="9"/>
      <c r="O317" s="7" t="s">
        <v>154</v>
      </c>
      <c r="P317" s="7" t="s">
        <v>657</v>
      </c>
      <c r="Q317" s="7" t="s">
        <v>90</v>
      </c>
      <c r="R317" s="7" t="s">
        <v>2034</v>
      </c>
      <c r="S317" s="7" t="s">
        <v>1722</v>
      </c>
      <c r="T317" s="7" t="s">
        <v>93</v>
      </c>
      <c r="U317" s="10"/>
      <c r="V317" s="7"/>
      <c r="W317" s="7"/>
      <c r="X317" s="7"/>
      <c r="Y317" s="7"/>
      <c r="Z317" s="7"/>
      <c r="AA317" s="7"/>
      <c r="AB317" s="8"/>
      <c r="AC317" s="6"/>
      <c r="AD317" s="6"/>
      <c r="AE317" s="6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8"/>
      <c r="AR317" s="9" t="str">
        <f aca="false">IFERROR(VLOOKUP($X317,Lotes!$A:$E,5,FALSE())*$U317,"")</f>
        <v/>
      </c>
      <c r="AS317" s="9" t="n">
        <f aca="false">IF($L317="","",$L317*2.6)</f>
        <v>988000</v>
      </c>
      <c r="AT317" s="9"/>
      <c r="AU317" s="9" t="n">
        <v>1140000</v>
      </c>
      <c r="AV317" s="9" t="n">
        <v>912000</v>
      </c>
      <c r="AW317" s="9" t="n">
        <v>0</v>
      </c>
      <c r="AX317" s="7" t="s">
        <v>657</v>
      </c>
      <c r="AY317" s="7" t="s">
        <v>94</v>
      </c>
      <c r="AZ317" s="7"/>
      <c r="BA317" s="7" t="s">
        <v>2035</v>
      </c>
      <c r="BB317" s="7" t="s">
        <v>2036</v>
      </c>
      <c r="BC317" s="11" t="s">
        <v>2037</v>
      </c>
      <c r="BD317" s="7" t="s">
        <v>98</v>
      </c>
      <c r="BE317" s="11"/>
    </row>
    <row r="318" customFormat="false" ht="15" hidden="false" customHeight="false" outlineLevel="0" collapsed="false">
      <c r="A318" s="6" t="n">
        <v>317</v>
      </c>
      <c r="B318" s="7" t="s">
        <v>1983</v>
      </c>
      <c r="C318" s="7" t="s">
        <v>2038</v>
      </c>
      <c r="D318" s="8"/>
      <c r="E318" s="7" t="s">
        <v>245</v>
      </c>
      <c r="F318" s="7" t="s">
        <v>148</v>
      </c>
      <c r="G318" s="6" t="n">
        <v>1</v>
      </c>
      <c r="H318" s="7" t="s">
        <v>101</v>
      </c>
      <c r="I318" s="7"/>
      <c r="J318" s="7"/>
      <c r="K318" s="7" t="s">
        <v>907</v>
      </c>
      <c r="L318" s="9" t="n">
        <v>750000</v>
      </c>
      <c r="M318" s="9"/>
      <c r="N318" s="9"/>
      <c r="O318" s="7" t="s">
        <v>817</v>
      </c>
      <c r="P318" s="7" t="s">
        <v>428</v>
      </c>
      <c r="Q318" s="7" t="s">
        <v>506</v>
      </c>
      <c r="R318" s="7" t="s">
        <v>2039</v>
      </c>
      <c r="S318" s="7" t="s">
        <v>1722</v>
      </c>
      <c r="T318" s="7"/>
      <c r="U318" s="10"/>
      <c r="V318" s="7"/>
      <c r="W318" s="7"/>
      <c r="X318" s="7"/>
      <c r="Y318" s="7"/>
      <c r="Z318" s="7"/>
      <c r="AA318" s="7"/>
      <c r="AB318" s="8"/>
      <c r="AC318" s="6"/>
      <c r="AD318" s="6"/>
      <c r="AE318" s="6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8"/>
      <c r="AR318" s="9" t="str">
        <f aca="false">IFERROR(VLOOKUP($X318,Lotes!$A:$E,5,FALSE())*$U318,"")</f>
        <v/>
      </c>
      <c r="AS318" s="9" t="n">
        <f aca="false">IF($L318="","",$L318*2.6)</f>
        <v>1950000</v>
      </c>
      <c r="AT318" s="9"/>
      <c r="AU318" s="9" t="n">
        <v>2250000</v>
      </c>
      <c r="AV318" s="9" t="n">
        <v>2250000</v>
      </c>
      <c r="AW318" s="9" t="n">
        <v>0</v>
      </c>
      <c r="AX318" s="7" t="s">
        <v>428</v>
      </c>
      <c r="AY318" s="7" t="s">
        <v>506</v>
      </c>
      <c r="AZ318" s="7"/>
      <c r="BA318" s="7" t="s">
        <v>2040</v>
      </c>
      <c r="BB318" s="7" t="s">
        <v>2041</v>
      </c>
      <c r="BC318" s="11" t="s">
        <v>2042</v>
      </c>
      <c r="BD318" s="7" t="s">
        <v>98</v>
      </c>
      <c r="BE318" s="11"/>
    </row>
    <row r="319" customFormat="false" ht="15" hidden="false" customHeight="false" outlineLevel="0" collapsed="false">
      <c r="A319" s="6" t="n">
        <v>318</v>
      </c>
      <c r="B319" s="7" t="s">
        <v>1983</v>
      </c>
      <c r="C319" s="7" t="s">
        <v>2043</v>
      </c>
      <c r="D319" s="8"/>
      <c r="E319" s="7" t="s">
        <v>245</v>
      </c>
      <c r="F319" s="7" t="s">
        <v>148</v>
      </c>
      <c r="G319" s="6" t="n">
        <v>1</v>
      </c>
      <c r="H319" s="7" t="s">
        <v>101</v>
      </c>
      <c r="I319" s="7"/>
      <c r="J319" s="7"/>
      <c r="K319" s="7" t="s">
        <v>1502</v>
      </c>
      <c r="L319" s="9" t="n">
        <v>480000</v>
      </c>
      <c r="M319" s="9"/>
      <c r="N319" s="9"/>
      <c r="O319" s="7" t="s">
        <v>817</v>
      </c>
      <c r="P319" s="7" t="s">
        <v>428</v>
      </c>
      <c r="Q319" s="7" t="s">
        <v>506</v>
      </c>
      <c r="R319" s="7" t="s">
        <v>2044</v>
      </c>
      <c r="S319" s="7" t="s">
        <v>1722</v>
      </c>
      <c r="T319" s="7"/>
      <c r="U319" s="10"/>
      <c r="V319" s="7"/>
      <c r="W319" s="7"/>
      <c r="X319" s="7"/>
      <c r="Y319" s="7"/>
      <c r="Z319" s="7"/>
      <c r="AA319" s="7"/>
      <c r="AB319" s="8"/>
      <c r="AC319" s="6"/>
      <c r="AD319" s="6"/>
      <c r="AE319" s="6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8"/>
      <c r="AR319" s="9" t="str">
        <f aca="false">IFERROR(VLOOKUP($X319,Lotes!$A:$E,5,FALSE())*$U319,"")</f>
        <v/>
      </c>
      <c r="AS319" s="9" t="n">
        <f aca="false">IF($L319="","",$L319*2.6)</f>
        <v>1248000</v>
      </c>
      <c r="AT319" s="9"/>
      <c r="AU319" s="9" t="n">
        <v>1440000</v>
      </c>
      <c r="AV319" s="9" t="n">
        <v>1440000</v>
      </c>
      <c r="AW319" s="9" t="n">
        <v>0</v>
      </c>
      <c r="AX319" s="7" t="s">
        <v>428</v>
      </c>
      <c r="AY319" s="7" t="s">
        <v>506</v>
      </c>
      <c r="AZ319" s="7"/>
      <c r="BA319" s="7" t="s">
        <v>2045</v>
      </c>
      <c r="BB319" s="7" t="s">
        <v>2046</v>
      </c>
      <c r="BC319" s="11" t="s">
        <v>2047</v>
      </c>
      <c r="BD319" s="7" t="s">
        <v>98</v>
      </c>
      <c r="BE319" s="11"/>
    </row>
    <row r="320" customFormat="false" ht="15" hidden="false" customHeight="false" outlineLevel="0" collapsed="false">
      <c r="A320" s="6" t="n">
        <v>319</v>
      </c>
      <c r="B320" s="7"/>
      <c r="C320" s="7"/>
      <c r="D320" s="8"/>
      <c r="E320" s="7"/>
      <c r="F320" s="7"/>
      <c r="G320" s="6" t="n">
        <v>1</v>
      </c>
      <c r="H320" s="7"/>
      <c r="I320" s="7"/>
      <c r="J320" s="7"/>
      <c r="K320" s="7"/>
      <c r="L320" s="9"/>
      <c r="M320" s="9"/>
      <c r="N320" s="9"/>
      <c r="O320" s="7" t="s">
        <v>154</v>
      </c>
      <c r="P320" s="7" t="s">
        <v>89</v>
      </c>
      <c r="Q320" s="7" t="s">
        <v>155</v>
      </c>
      <c r="R320" s="7" t="s">
        <v>2048</v>
      </c>
      <c r="S320" s="7"/>
      <c r="T320" s="7"/>
      <c r="U320" s="10"/>
      <c r="V320" s="7"/>
      <c r="W320" s="7"/>
      <c r="X320" s="7"/>
      <c r="Y320" s="7"/>
      <c r="Z320" s="7"/>
      <c r="AA320" s="7"/>
      <c r="AB320" s="8"/>
      <c r="AC320" s="6"/>
      <c r="AD320" s="6"/>
      <c r="AE320" s="6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8"/>
      <c r="AR320" s="9" t="str">
        <f aca="false">IFERROR(VLOOKUP($X320,Lotes!$A:$E,5,FALSE())*$U320,"")</f>
        <v/>
      </c>
      <c r="AS320" s="9" t="str">
        <f aca="false">IF($L320="","",$L320*2.6)</f>
        <v/>
      </c>
      <c r="AT320" s="9"/>
      <c r="AU320" s="9"/>
      <c r="AV320" s="9"/>
      <c r="AW320" s="9"/>
      <c r="AX320" s="7"/>
      <c r="AY320" s="7"/>
      <c r="AZ320" s="7"/>
      <c r="BA320" s="7" t="s">
        <v>2049</v>
      </c>
      <c r="BB320" s="7" t="s">
        <v>2050</v>
      </c>
      <c r="BC320" s="11" t="s">
        <v>2051</v>
      </c>
      <c r="BD320" s="7" t="s">
        <v>2052</v>
      </c>
      <c r="BE320" s="11"/>
    </row>
    <row r="321" customFormat="false" ht="15" hidden="false" customHeight="false" outlineLevel="0" collapsed="false">
      <c r="A321" s="6" t="n">
        <v>320</v>
      </c>
      <c r="B321" s="7"/>
      <c r="C321" s="7"/>
      <c r="D321" s="8"/>
      <c r="E321" s="7"/>
      <c r="F321" s="7"/>
      <c r="G321" s="6" t="n">
        <v>1</v>
      </c>
      <c r="H321" s="7"/>
      <c r="I321" s="7"/>
      <c r="J321" s="7"/>
      <c r="K321" s="7"/>
      <c r="L321" s="9"/>
      <c r="M321" s="9"/>
      <c r="N321" s="9"/>
      <c r="O321" s="7" t="s">
        <v>154</v>
      </c>
      <c r="P321" s="7" t="s">
        <v>89</v>
      </c>
      <c r="Q321" s="7" t="s">
        <v>155</v>
      </c>
      <c r="R321" s="7" t="s">
        <v>2053</v>
      </c>
      <c r="S321" s="7"/>
      <c r="T321" s="7"/>
      <c r="U321" s="10"/>
      <c r="V321" s="7"/>
      <c r="W321" s="7"/>
      <c r="X321" s="7"/>
      <c r="Y321" s="7"/>
      <c r="Z321" s="7"/>
      <c r="AA321" s="7"/>
      <c r="AB321" s="8"/>
      <c r="AC321" s="6"/>
      <c r="AD321" s="6"/>
      <c r="AE321" s="6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8"/>
      <c r="AR321" s="9" t="str">
        <f aca="false">IFERROR(VLOOKUP($X321,Lotes!$A:$E,5,FALSE())*$U321,"")</f>
        <v/>
      </c>
      <c r="AS321" s="9" t="str">
        <f aca="false">IF($L321="","",$L321*2.6)</f>
        <v/>
      </c>
      <c r="AT321" s="9"/>
      <c r="AU321" s="9"/>
      <c r="AV321" s="9"/>
      <c r="AW321" s="9"/>
      <c r="AX321" s="7"/>
      <c r="AY321" s="7"/>
      <c r="AZ321" s="7"/>
      <c r="BA321" s="7" t="s">
        <v>2054</v>
      </c>
      <c r="BB321" s="7" t="s">
        <v>2055</v>
      </c>
      <c r="BC321" s="11" t="s">
        <v>2056</v>
      </c>
      <c r="BD321" s="7" t="s">
        <v>2052</v>
      </c>
      <c r="BE321" s="11"/>
    </row>
    <row r="322" customFormat="false" ht="15" hidden="false" customHeight="false" outlineLevel="0" collapsed="false">
      <c r="A322" s="6" t="n">
        <v>321</v>
      </c>
      <c r="B322" s="7"/>
      <c r="C322" s="7"/>
      <c r="D322" s="8"/>
      <c r="E322" s="7"/>
      <c r="F322" s="7"/>
      <c r="G322" s="6" t="n">
        <v>1</v>
      </c>
      <c r="H322" s="7"/>
      <c r="I322" s="7"/>
      <c r="J322" s="7"/>
      <c r="K322" s="7"/>
      <c r="L322" s="9"/>
      <c r="M322" s="9"/>
      <c r="N322" s="9"/>
      <c r="O322" s="7" t="s">
        <v>154</v>
      </c>
      <c r="P322" s="7" t="s">
        <v>89</v>
      </c>
      <c r="Q322" s="7" t="s">
        <v>155</v>
      </c>
      <c r="R322" s="7" t="s">
        <v>2057</v>
      </c>
      <c r="S322" s="7"/>
      <c r="T322" s="7"/>
      <c r="U322" s="10"/>
      <c r="V322" s="7"/>
      <c r="W322" s="7"/>
      <c r="X322" s="7"/>
      <c r="Y322" s="7"/>
      <c r="Z322" s="7"/>
      <c r="AA322" s="7"/>
      <c r="AB322" s="8"/>
      <c r="AC322" s="6"/>
      <c r="AD322" s="6"/>
      <c r="AE322" s="6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8"/>
      <c r="AR322" s="9" t="str">
        <f aca="false">IFERROR(VLOOKUP($X322,Lotes!$A:$E,5,FALSE())*$U322,"")</f>
        <v/>
      </c>
      <c r="AS322" s="9" t="str">
        <f aca="false">IF($L322="","",$L322*2.6)</f>
        <v/>
      </c>
      <c r="AT322" s="9"/>
      <c r="AU322" s="9"/>
      <c r="AV322" s="9"/>
      <c r="AW322" s="9"/>
      <c r="AX322" s="7"/>
      <c r="AY322" s="7"/>
      <c r="AZ322" s="7"/>
      <c r="BA322" s="7" t="s">
        <v>2058</v>
      </c>
      <c r="BB322" s="7" t="s">
        <v>2059</v>
      </c>
      <c r="BC322" s="11" t="s">
        <v>2060</v>
      </c>
      <c r="BD322" s="7" t="s">
        <v>2052</v>
      </c>
      <c r="BE322" s="11"/>
    </row>
    <row r="323" customFormat="false" ht="15" hidden="false" customHeight="false" outlineLevel="0" collapsed="false">
      <c r="A323" s="6" t="n">
        <v>322</v>
      </c>
      <c r="B323" s="7"/>
      <c r="C323" s="7"/>
      <c r="D323" s="8"/>
      <c r="E323" s="7"/>
      <c r="F323" s="7"/>
      <c r="G323" s="6" t="n">
        <v>1</v>
      </c>
      <c r="H323" s="7"/>
      <c r="I323" s="7"/>
      <c r="J323" s="7"/>
      <c r="K323" s="7"/>
      <c r="L323" s="9"/>
      <c r="M323" s="9"/>
      <c r="N323" s="9"/>
      <c r="O323" s="7" t="s">
        <v>154</v>
      </c>
      <c r="P323" s="7" t="s">
        <v>89</v>
      </c>
      <c r="Q323" s="7" t="s">
        <v>155</v>
      </c>
      <c r="R323" s="7" t="s">
        <v>2061</v>
      </c>
      <c r="S323" s="7"/>
      <c r="T323" s="7"/>
      <c r="U323" s="10"/>
      <c r="V323" s="7"/>
      <c r="W323" s="7"/>
      <c r="X323" s="7"/>
      <c r="Y323" s="7"/>
      <c r="Z323" s="7"/>
      <c r="AA323" s="7"/>
      <c r="AB323" s="8"/>
      <c r="AC323" s="6"/>
      <c r="AD323" s="6"/>
      <c r="AE323" s="6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8"/>
      <c r="AR323" s="9" t="str">
        <f aca="false">IFERROR(VLOOKUP($X323,Lotes!$A:$E,5,FALSE())*$U323,"")</f>
        <v/>
      </c>
      <c r="AS323" s="9" t="str">
        <f aca="false">IF($L323="","",$L323*2.6)</f>
        <v/>
      </c>
      <c r="AT323" s="9"/>
      <c r="AU323" s="9"/>
      <c r="AV323" s="9"/>
      <c r="AW323" s="9"/>
      <c r="AX323" s="7"/>
      <c r="AY323" s="7"/>
      <c r="AZ323" s="7"/>
      <c r="BA323" s="7" t="s">
        <v>2062</v>
      </c>
      <c r="BB323" s="7" t="s">
        <v>2063</v>
      </c>
      <c r="BC323" s="11" t="s">
        <v>2064</v>
      </c>
      <c r="BD323" s="7" t="s">
        <v>2052</v>
      </c>
      <c r="BE323" s="11"/>
    </row>
    <row r="324" customFormat="false" ht="15" hidden="false" customHeight="false" outlineLevel="0" collapsed="false">
      <c r="A324" s="6" t="n">
        <v>323</v>
      </c>
      <c r="B324" s="7"/>
      <c r="C324" s="7" t="s">
        <v>2065</v>
      </c>
      <c r="D324" s="8" t="n">
        <v>4.4</v>
      </c>
      <c r="E324" s="7" t="s">
        <v>2066</v>
      </c>
      <c r="F324" s="7" t="s">
        <v>2067</v>
      </c>
      <c r="G324" s="6" t="n">
        <v>1</v>
      </c>
      <c r="H324" s="7" t="s">
        <v>178</v>
      </c>
      <c r="I324" s="7" t="s">
        <v>271</v>
      </c>
      <c r="J324" s="7" t="s">
        <v>2068</v>
      </c>
      <c r="K324" s="7" t="s">
        <v>2069</v>
      </c>
      <c r="L324" s="9" t="n">
        <v>540000</v>
      </c>
      <c r="M324" s="9" t="n">
        <v>1620000</v>
      </c>
      <c r="N324" s="9" t="n">
        <v>3240000</v>
      </c>
      <c r="O324" s="7" t="s">
        <v>154</v>
      </c>
      <c r="P324" s="7" t="s">
        <v>109</v>
      </c>
      <c r="Q324" s="7" t="s">
        <v>155</v>
      </c>
      <c r="R324" s="7" t="s">
        <v>2070</v>
      </c>
      <c r="S324" s="7"/>
      <c r="T324" s="7"/>
      <c r="U324" s="10" t="n">
        <v>0.45</v>
      </c>
      <c r="V324" s="7"/>
      <c r="W324" s="7"/>
      <c r="X324" s="7" t="s">
        <v>2071</v>
      </c>
      <c r="Y324" s="12" t="b">
        <f aca="false">TRUE()</f>
        <v>1</v>
      </c>
      <c r="Z324" s="7"/>
      <c r="AA324" s="7" t="s">
        <v>2072</v>
      </c>
      <c r="AB324" s="8"/>
      <c r="AC324" s="6"/>
      <c r="AD324" s="6" t="n">
        <v>5</v>
      </c>
      <c r="AE324" s="6" t="n">
        <v>4</v>
      </c>
      <c r="AF324" s="7" t="s">
        <v>2069</v>
      </c>
      <c r="AG324" s="7"/>
      <c r="AH324" s="7"/>
      <c r="AI324" s="7"/>
      <c r="AJ324" s="7"/>
      <c r="AK324" s="7"/>
      <c r="AL324" s="7" t="s">
        <v>2073</v>
      </c>
      <c r="AM324" s="7"/>
      <c r="AN324" s="7"/>
      <c r="AO324" s="7"/>
      <c r="AP324" s="7"/>
      <c r="AQ324" s="8"/>
      <c r="AR324" s="9" t="n">
        <f aca="false">IFERROR(VLOOKUP($X324,Lotes!$A:$E,5,FALSE())*$U324,"")</f>
        <v>540000</v>
      </c>
      <c r="AS324" s="9" t="n">
        <f aca="false">IF($L324="","",$L324*2.6)</f>
        <v>1404000</v>
      </c>
      <c r="AT324" s="9"/>
      <c r="AU324" s="9"/>
      <c r="AV324" s="9" t="n">
        <v>0</v>
      </c>
      <c r="AW324" s="9" t="n">
        <v>0</v>
      </c>
      <c r="AX324" s="7" t="s">
        <v>109</v>
      </c>
      <c r="AY324" s="7" t="s">
        <v>575</v>
      </c>
      <c r="AZ324" s="7"/>
      <c r="BA324" s="7" t="s">
        <v>2074</v>
      </c>
      <c r="BB324" s="7" t="s">
        <v>2075</v>
      </c>
      <c r="BC324" s="11" t="s">
        <v>2076</v>
      </c>
      <c r="BD324" s="7" t="s">
        <v>2077</v>
      </c>
      <c r="BE324" s="11"/>
    </row>
    <row r="325" customFormat="false" ht="15" hidden="false" customHeight="false" outlineLevel="0" collapsed="false">
      <c r="A325" s="6" t="n">
        <v>324</v>
      </c>
      <c r="B325" s="7"/>
      <c r="C325" s="7" t="s">
        <v>2078</v>
      </c>
      <c r="D325" s="8" t="n">
        <v>5.3</v>
      </c>
      <c r="E325" s="7" t="s">
        <v>2066</v>
      </c>
      <c r="F325" s="7" t="s">
        <v>2067</v>
      </c>
      <c r="G325" s="6" t="n">
        <v>1</v>
      </c>
      <c r="H325" s="7" t="s">
        <v>178</v>
      </c>
      <c r="I325" s="7" t="s">
        <v>271</v>
      </c>
      <c r="J325" s="7" t="s">
        <v>2079</v>
      </c>
      <c r="K325" s="7" t="s">
        <v>1961</v>
      </c>
      <c r="L325" s="9" t="n">
        <v>660000</v>
      </c>
      <c r="M325" s="9" t="n">
        <v>1980000</v>
      </c>
      <c r="N325" s="9" t="n">
        <v>3957000</v>
      </c>
      <c r="O325" s="7" t="s">
        <v>154</v>
      </c>
      <c r="P325" s="7" t="s">
        <v>109</v>
      </c>
      <c r="Q325" s="7" t="s">
        <v>155</v>
      </c>
      <c r="R325" s="7" t="s">
        <v>2080</v>
      </c>
      <c r="S325" s="7"/>
      <c r="T325" s="7"/>
      <c r="U325" s="10" t="n">
        <v>0.55</v>
      </c>
      <c r="V325" s="7"/>
      <c r="W325" s="7"/>
      <c r="X325" s="7" t="s">
        <v>2071</v>
      </c>
      <c r="Y325" s="12" t="b">
        <f aca="false">TRUE()</f>
        <v>1</v>
      </c>
      <c r="Z325" s="7"/>
      <c r="AA325" s="7" t="s">
        <v>2081</v>
      </c>
      <c r="AB325" s="8"/>
      <c r="AC325" s="6"/>
      <c r="AD325" s="6" t="n">
        <v>5</v>
      </c>
      <c r="AE325" s="6" t="n">
        <v>5</v>
      </c>
      <c r="AF325" s="7" t="s">
        <v>1961</v>
      </c>
      <c r="AG325" s="7"/>
      <c r="AH325" s="7"/>
      <c r="AI325" s="7"/>
      <c r="AJ325" s="7"/>
      <c r="AK325" s="7"/>
      <c r="AL325" s="7" t="s">
        <v>2082</v>
      </c>
      <c r="AM325" s="7"/>
      <c r="AN325" s="7"/>
      <c r="AO325" s="7"/>
      <c r="AP325" s="7"/>
      <c r="AQ325" s="8"/>
      <c r="AR325" s="9" t="n">
        <f aca="false">IFERROR(VLOOKUP($X325,Lotes!$A:$E,5,FALSE())*$U325,"")</f>
        <v>660000</v>
      </c>
      <c r="AS325" s="9" t="n">
        <f aca="false">IF($L325="","",$L325*2.6)</f>
        <v>1716000</v>
      </c>
      <c r="AT325" s="9"/>
      <c r="AU325" s="9"/>
      <c r="AV325" s="9" t="n">
        <v>0</v>
      </c>
      <c r="AW325" s="9" t="n">
        <v>0</v>
      </c>
      <c r="AX325" s="7" t="s">
        <v>109</v>
      </c>
      <c r="AY325" s="7" t="s">
        <v>575</v>
      </c>
      <c r="AZ325" s="7"/>
      <c r="BA325" s="7" t="s">
        <v>2083</v>
      </c>
      <c r="BB325" s="7" t="s">
        <v>2084</v>
      </c>
      <c r="BC325" s="11" t="s">
        <v>2085</v>
      </c>
      <c r="BD325" s="7" t="s">
        <v>2077</v>
      </c>
      <c r="BE325" s="11"/>
    </row>
    <row r="326" customFormat="false" ht="15" hidden="false" customHeight="false" outlineLevel="0" collapsed="false">
      <c r="A326" s="6" t="n">
        <v>325</v>
      </c>
      <c r="B326" s="7"/>
      <c r="C326" s="7" t="s">
        <v>2086</v>
      </c>
      <c r="D326" s="8" t="n">
        <v>19.5</v>
      </c>
      <c r="E326" s="7"/>
      <c r="F326" s="7" t="s">
        <v>2087</v>
      </c>
      <c r="G326" s="6" t="n">
        <v>1</v>
      </c>
      <c r="H326" s="7"/>
      <c r="I326" s="7"/>
      <c r="J326" s="7"/>
      <c r="K326" s="7"/>
      <c r="L326" s="9" t="n">
        <v>162500</v>
      </c>
      <c r="M326" s="9" t="n">
        <v>406250</v>
      </c>
      <c r="N326" s="9" t="n">
        <v>555000</v>
      </c>
      <c r="O326" s="7"/>
      <c r="P326" s="7"/>
      <c r="Q326" s="7" t="s">
        <v>90</v>
      </c>
      <c r="R326" s="7" t="s">
        <v>2088</v>
      </c>
      <c r="S326" s="7"/>
      <c r="T326" s="7"/>
      <c r="U326" s="10" t="n">
        <v>0.25</v>
      </c>
      <c r="V326" s="7"/>
      <c r="W326" s="7"/>
      <c r="X326" s="7" t="s">
        <v>2089</v>
      </c>
      <c r="Y326" s="12" t="b">
        <f aca="false">TRUE()</f>
        <v>1</v>
      </c>
      <c r="Z326" s="7" t="s">
        <v>2090</v>
      </c>
      <c r="AA326" s="7" t="s">
        <v>2091</v>
      </c>
      <c r="AB326" s="8"/>
      <c r="AC326" s="6" t="n">
        <v>1</v>
      </c>
      <c r="AD326" s="6"/>
      <c r="AE326" s="6"/>
      <c r="AF326" s="7"/>
      <c r="AG326" s="7"/>
      <c r="AH326" s="7"/>
      <c r="AI326" s="7"/>
      <c r="AJ326" s="7"/>
      <c r="AK326" s="7"/>
      <c r="AL326" s="7" t="s">
        <v>2092</v>
      </c>
      <c r="AM326" s="7"/>
      <c r="AN326" s="7"/>
      <c r="AO326" s="7"/>
      <c r="AP326" s="7"/>
      <c r="AQ326" s="8"/>
      <c r="AR326" s="9" t="n">
        <f aca="false">IFERROR(VLOOKUP($X326,Lotes!$A:$E,5,FALSE())*$U326,"")</f>
        <v>162500</v>
      </c>
      <c r="AS326" s="9" t="n">
        <f aca="false">IF($L326="","",$L326*2.6)</f>
        <v>422500</v>
      </c>
      <c r="AT326" s="9"/>
      <c r="AU326" s="9" t="n">
        <v>406250</v>
      </c>
      <c r="AV326" s="9" t="n">
        <v>304200</v>
      </c>
      <c r="AW326" s="9" t="n">
        <v>200</v>
      </c>
      <c r="AX326" s="7" t="s">
        <v>657</v>
      </c>
      <c r="AY326" s="7" t="s">
        <v>94</v>
      </c>
      <c r="AZ326" s="7"/>
      <c r="BA326" s="7" t="s">
        <v>2093</v>
      </c>
      <c r="BB326" s="7" t="s">
        <v>2094</v>
      </c>
      <c r="BC326" s="11" t="s">
        <v>2095</v>
      </c>
      <c r="BD326" s="7" t="s">
        <v>2096</v>
      </c>
      <c r="BE326" s="11"/>
    </row>
    <row r="327" customFormat="false" ht="15" hidden="false" customHeight="false" outlineLevel="0" collapsed="false">
      <c r="A327" s="6" t="n">
        <v>326</v>
      </c>
      <c r="B327" s="7"/>
      <c r="C327" s="7" t="s">
        <v>2097</v>
      </c>
      <c r="D327" s="8" t="n">
        <v>16.6</v>
      </c>
      <c r="E327" s="7" t="s">
        <v>85</v>
      </c>
      <c r="F327" s="7" t="s">
        <v>2087</v>
      </c>
      <c r="G327" s="6"/>
      <c r="H327" s="7" t="s">
        <v>1240</v>
      </c>
      <c r="I327" s="7"/>
      <c r="J327" s="7"/>
      <c r="K327" s="7" t="s">
        <v>1240</v>
      </c>
      <c r="L327" s="9" t="n">
        <v>143000</v>
      </c>
      <c r="M327" s="9" t="n">
        <v>358</v>
      </c>
      <c r="N327" s="9" t="n">
        <v>444</v>
      </c>
      <c r="O327" s="7" t="s">
        <v>154</v>
      </c>
      <c r="P327" s="7" t="s">
        <v>109</v>
      </c>
      <c r="Q327" s="7" t="s">
        <v>155</v>
      </c>
      <c r="R327" s="7" t="s">
        <v>2098</v>
      </c>
      <c r="S327" s="7"/>
      <c r="T327" s="7"/>
      <c r="U327" s="10" t="n">
        <v>0.22</v>
      </c>
      <c r="V327" s="7"/>
      <c r="W327" s="7"/>
      <c r="X327" s="7" t="s">
        <v>2089</v>
      </c>
      <c r="Y327" s="12" t="b">
        <f aca="false">TRUE()</f>
        <v>1</v>
      </c>
      <c r="Z327" s="7" t="s">
        <v>2090</v>
      </c>
      <c r="AA327" s="7" t="s">
        <v>2099</v>
      </c>
      <c r="AB327" s="8" t="n">
        <v>0</v>
      </c>
      <c r="AC327" s="6" t="n">
        <v>1</v>
      </c>
      <c r="AD327" s="6"/>
      <c r="AE327" s="6"/>
      <c r="AF327" s="7"/>
      <c r="AG327" s="7"/>
      <c r="AH327" s="7"/>
      <c r="AI327" s="7"/>
      <c r="AJ327" s="7"/>
      <c r="AK327" s="7"/>
      <c r="AL327" s="7" t="s">
        <v>2100</v>
      </c>
      <c r="AM327" s="7"/>
      <c r="AN327" s="7"/>
      <c r="AO327" s="7"/>
      <c r="AP327" s="7"/>
      <c r="AQ327" s="8"/>
      <c r="AR327" s="9" t="n">
        <f aca="false">IFERROR(VLOOKUP($X327,Lotes!$A:$E,5,FALSE())*$U327,"")</f>
        <v>143000</v>
      </c>
      <c r="AS327" s="9" t="n">
        <f aca="false">IF($L327="","",$L327*2.6)</f>
        <v>371800</v>
      </c>
      <c r="AT327" s="9"/>
      <c r="AU327" s="9" t="n">
        <v>358000</v>
      </c>
      <c r="AV327" s="9" t="n">
        <v>358000</v>
      </c>
      <c r="AW327" s="9" t="n">
        <v>0</v>
      </c>
      <c r="AX327" s="7" t="s">
        <v>109</v>
      </c>
      <c r="AY327" s="7" t="s">
        <v>575</v>
      </c>
      <c r="AZ327" s="7"/>
      <c r="BA327" s="7" t="s">
        <v>2101</v>
      </c>
      <c r="BB327" s="7" t="s">
        <v>2102</v>
      </c>
      <c r="BC327" s="11" t="s">
        <v>2103</v>
      </c>
      <c r="BD327" s="7" t="s">
        <v>2077</v>
      </c>
      <c r="BE327" s="11"/>
    </row>
    <row r="328" customFormat="false" ht="15" hidden="false" customHeight="false" outlineLevel="0" collapsed="false">
      <c r="A328" s="6" t="n">
        <v>327</v>
      </c>
      <c r="B328" s="7"/>
      <c r="C328" s="7" t="s">
        <v>2104</v>
      </c>
      <c r="D328" s="8" t="n">
        <v>13</v>
      </c>
      <c r="E328" s="7" t="s">
        <v>85</v>
      </c>
      <c r="F328" s="7" t="s">
        <v>2087</v>
      </c>
      <c r="G328" s="6"/>
      <c r="H328" s="7" t="s">
        <v>1240</v>
      </c>
      <c r="I328" s="7"/>
      <c r="J328" s="7"/>
      <c r="K328" s="7" t="s">
        <v>1240</v>
      </c>
      <c r="L328" s="9" t="n">
        <v>130000</v>
      </c>
      <c r="M328" s="9" t="n">
        <v>325</v>
      </c>
      <c r="N328" s="9" t="n">
        <v>420</v>
      </c>
      <c r="O328" s="7" t="s">
        <v>154</v>
      </c>
      <c r="P328" s="7" t="s">
        <v>109</v>
      </c>
      <c r="Q328" s="7" t="s">
        <v>155</v>
      </c>
      <c r="R328" s="7" t="s">
        <v>2105</v>
      </c>
      <c r="S328" s="7"/>
      <c r="T328" s="7"/>
      <c r="U328" s="10" t="n">
        <v>0.2</v>
      </c>
      <c r="V328" s="7"/>
      <c r="W328" s="7"/>
      <c r="X328" s="7" t="s">
        <v>2089</v>
      </c>
      <c r="Y328" s="12" t="b">
        <f aca="false">TRUE()</f>
        <v>1</v>
      </c>
      <c r="Z328" s="7" t="s">
        <v>2090</v>
      </c>
      <c r="AA328" s="7" t="s">
        <v>2106</v>
      </c>
      <c r="AB328" s="8" t="n">
        <v>0</v>
      </c>
      <c r="AC328" s="6" t="n">
        <v>1</v>
      </c>
      <c r="AD328" s="6"/>
      <c r="AE328" s="6"/>
      <c r="AF328" s="7"/>
      <c r="AG328" s="7"/>
      <c r="AH328" s="7"/>
      <c r="AI328" s="7"/>
      <c r="AJ328" s="7"/>
      <c r="AK328" s="7"/>
      <c r="AL328" s="7" t="s">
        <v>2107</v>
      </c>
      <c r="AM328" s="7"/>
      <c r="AN328" s="7"/>
      <c r="AO328" s="7"/>
      <c r="AP328" s="7"/>
      <c r="AQ328" s="8"/>
      <c r="AR328" s="9" t="n">
        <f aca="false">IFERROR(VLOOKUP($X328,Lotes!$A:$E,5,FALSE())*$U328,"")</f>
        <v>130000</v>
      </c>
      <c r="AS328" s="9" t="n">
        <f aca="false">IF($L328="","",$L328*2.6)</f>
        <v>338000</v>
      </c>
      <c r="AT328" s="9"/>
      <c r="AU328" s="9" t="n">
        <v>325000</v>
      </c>
      <c r="AV328" s="9" t="n">
        <v>325000</v>
      </c>
      <c r="AW328" s="9" t="n">
        <v>0</v>
      </c>
      <c r="AX328" s="7" t="s">
        <v>109</v>
      </c>
      <c r="AY328" s="7" t="s">
        <v>575</v>
      </c>
      <c r="AZ328" s="7"/>
      <c r="BA328" s="7" t="s">
        <v>2108</v>
      </c>
      <c r="BB328" s="7" t="s">
        <v>2109</v>
      </c>
      <c r="BC328" s="11" t="s">
        <v>2110</v>
      </c>
      <c r="BD328" s="7" t="s">
        <v>2077</v>
      </c>
      <c r="BE328" s="11"/>
    </row>
    <row r="329" customFormat="false" ht="15" hidden="false" customHeight="false" outlineLevel="0" collapsed="false">
      <c r="A329" s="6" t="n">
        <v>328</v>
      </c>
      <c r="B329" s="7"/>
      <c r="C329" s="7" t="s">
        <v>2111</v>
      </c>
      <c r="D329" s="8" t="n">
        <v>10</v>
      </c>
      <c r="E329" s="7" t="s">
        <v>85</v>
      </c>
      <c r="F329" s="7" t="s">
        <v>2087</v>
      </c>
      <c r="G329" s="6"/>
      <c r="H329" s="7" t="s">
        <v>1240</v>
      </c>
      <c r="I329" s="7"/>
      <c r="J329" s="7"/>
      <c r="K329" s="7" t="s">
        <v>1240</v>
      </c>
      <c r="L329" s="9" t="n">
        <v>130000</v>
      </c>
      <c r="M329" s="9" t="n">
        <v>325</v>
      </c>
      <c r="N329" s="9" t="n">
        <v>399</v>
      </c>
      <c r="O329" s="7" t="s">
        <v>154</v>
      </c>
      <c r="P329" s="7" t="s">
        <v>109</v>
      </c>
      <c r="Q329" s="7" t="s">
        <v>155</v>
      </c>
      <c r="R329" s="7" t="s">
        <v>2112</v>
      </c>
      <c r="S329" s="7"/>
      <c r="T329" s="7"/>
      <c r="U329" s="10" t="n">
        <v>0.2</v>
      </c>
      <c r="V329" s="7"/>
      <c r="W329" s="7"/>
      <c r="X329" s="7" t="s">
        <v>2089</v>
      </c>
      <c r="Y329" s="12" t="b">
        <f aca="false">TRUE()</f>
        <v>1</v>
      </c>
      <c r="Z329" s="7" t="s">
        <v>2090</v>
      </c>
      <c r="AA329" s="7"/>
      <c r="AB329" s="8"/>
      <c r="AC329" s="6" t="n">
        <v>1</v>
      </c>
      <c r="AD329" s="6"/>
      <c r="AE329" s="6"/>
      <c r="AF329" s="7"/>
      <c r="AG329" s="7"/>
      <c r="AH329" s="7"/>
      <c r="AI329" s="7"/>
      <c r="AJ329" s="7"/>
      <c r="AK329" s="7"/>
      <c r="AL329" s="7" t="s">
        <v>2113</v>
      </c>
      <c r="AM329" s="7"/>
      <c r="AN329" s="7"/>
      <c r="AO329" s="7"/>
      <c r="AP329" s="7"/>
      <c r="AQ329" s="8"/>
      <c r="AR329" s="9" t="n">
        <f aca="false">IFERROR(VLOOKUP($X329,Lotes!$A:$E,5,FALSE())*$U329,"")</f>
        <v>130000</v>
      </c>
      <c r="AS329" s="9" t="n">
        <f aca="false">IF($L329="","",$L329*2.6)</f>
        <v>338000</v>
      </c>
      <c r="AT329" s="9"/>
      <c r="AU329" s="9" t="n">
        <v>325000</v>
      </c>
      <c r="AV329" s="9" t="n">
        <v>325000</v>
      </c>
      <c r="AW329" s="9" t="n">
        <v>0</v>
      </c>
      <c r="AX329" s="7" t="s">
        <v>109</v>
      </c>
      <c r="AY329" s="7" t="s">
        <v>575</v>
      </c>
      <c r="AZ329" s="7"/>
      <c r="BA329" s="7" t="s">
        <v>2114</v>
      </c>
      <c r="BB329" s="7" t="s">
        <v>2115</v>
      </c>
      <c r="BC329" s="11" t="s">
        <v>2116</v>
      </c>
      <c r="BD329" s="7" t="s">
        <v>2077</v>
      </c>
      <c r="BE329" s="11"/>
    </row>
    <row r="330" customFormat="false" ht="15" hidden="false" customHeight="false" outlineLevel="0" collapsed="false">
      <c r="A330" s="6" t="n">
        <v>329</v>
      </c>
      <c r="B330" s="7"/>
      <c r="C330" s="7" t="s">
        <v>2117</v>
      </c>
      <c r="D330" s="8" t="n">
        <v>12</v>
      </c>
      <c r="E330" s="7" t="s">
        <v>85</v>
      </c>
      <c r="F330" s="7" t="s">
        <v>2087</v>
      </c>
      <c r="G330" s="6"/>
      <c r="H330" s="7" t="s">
        <v>1240</v>
      </c>
      <c r="I330" s="7"/>
      <c r="J330" s="7"/>
      <c r="K330" s="7" t="s">
        <v>1240</v>
      </c>
      <c r="L330" s="9" t="n">
        <v>84500</v>
      </c>
      <c r="M330" s="9" t="n">
        <v>211.25</v>
      </c>
      <c r="N330" s="9" t="n">
        <v>242</v>
      </c>
      <c r="O330" s="7" t="s">
        <v>154</v>
      </c>
      <c r="P330" s="7" t="s">
        <v>109</v>
      </c>
      <c r="Q330" s="7" t="s">
        <v>155</v>
      </c>
      <c r="R330" s="7" t="s">
        <v>2118</v>
      </c>
      <c r="S330" s="7"/>
      <c r="T330" s="7"/>
      <c r="U330" s="10" t="n">
        <v>0.13</v>
      </c>
      <c r="V330" s="7"/>
      <c r="W330" s="7"/>
      <c r="X330" s="7" t="s">
        <v>2089</v>
      </c>
      <c r="Y330" s="12" t="b">
        <f aca="false">TRUE()</f>
        <v>1</v>
      </c>
      <c r="Z330" s="7" t="s">
        <v>2090</v>
      </c>
      <c r="AA330" s="7" t="s">
        <v>2119</v>
      </c>
      <c r="AB330" s="8"/>
      <c r="AC330" s="6" t="n">
        <v>1</v>
      </c>
      <c r="AD330" s="6"/>
      <c r="AE330" s="6"/>
      <c r="AF330" s="7"/>
      <c r="AG330" s="7"/>
      <c r="AH330" s="7"/>
      <c r="AI330" s="7"/>
      <c r="AJ330" s="7"/>
      <c r="AK330" s="7"/>
      <c r="AL330" s="7" t="s">
        <v>2120</v>
      </c>
      <c r="AM330" s="7"/>
      <c r="AN330" s="7"/>
      <c r="AO330" s="7"/>
      <c r="AP330" s="7"/>
      <c r="AQ330" s="8"/>
      <c r="AR330" s="9" t="n">
        <f aca="false">IFERROR(VLOOKUP($X330,Lotes!$A:$E,5,FALSE())*$U330,"")</f>
        <v>84500</v>
      </c>
      <c r="AS330" s="9" t="n">
        <f aca="false">IF($L330="","",$L330*2.6)</f>
        <v>219700</v>
      </c>
      <c r="AT330" s="9"/>
      <c r="AU330" s="9" t="n">
        <v>211250</v>
      </c>
      <c r="AV330" s="9" t="n">
        <v>211250</v>
      </c>
      <c r="AW330" s="9" t="n">
        <v>0</v>
      </c>
      <c r="AX330" s="7" t="s">
        <v>109</v>
      </c>
      <c r="AY330" s="7" t="s">
        <v>575</v>
      </c>
      <c r="AZ330" s="7"/>
      <c r="BA330" s="7" t="s">
        <v>2121</v>
      </c>
      <c r="BB330" s="7" t="s">
        <v>2122</v>
      </c>
      <c r="BC330" s="11" t="s">
        <v>2123</v>
      </c>
      <c r="BD330" s="7" t="s">
        <v>2077</v>
      </c>
      <c r="BE330" s="11"/>
    </row>
    <row r="331" customFormat="false" ht="15" hidden="false" customHeight="false" outlineLevel="0" collapsed="false">
      <c r="A331" s="6" t="n">
        <v>330</v>
      </c>
      <c r="B331" s="7"/>
      <c r="C331" s="7" t="s">
        <v>2124</v>
      </c>
      <c r="D331" s="8" t="n">
        <v>175.7</v>
      </c>
      <c r="E331" s="7" t="s">
        <v>2125</v>
      </c>
      <c r="F331" s="7" t="s">
        <v>86</v>
      </c>
      <c r="G331" s="6" t="n">
        <v>6</v>
      </c>
      <c r="H331" s="7" t="s">
        <v>2126</v>
      </c>
      <c r="I331" s="7"/>
      <c r="J331" s="7"/>
      <c r="K331" s="7" t="s">
        <v>1961</v>
      </c>
      <c r="L331" s="9" t="n">
        <v>250000</v>
      </c>
      <c r="M331" s="9" t="n">
        <v>625</v>
      </c>
      <c r="N331" s="9" t="n">
        <v>750</v>
      </c>
      <c r="O331" s="7" t="s">
        <v>154</v>
      </c>
      <c r="P331" s="7" t="s">
        <v>109</v>
      </c>
      <c r="Q331" s="7" t="s">
        <v>155</v>
      </c>
      <c r="R331" s="7" t="s">
        <v>2127</v>
      </c>
      <c r="S331" s="7"/>
      <c r="T331" s="7"/>
      <c r="U331" s="10" t="n">
        <v>0.5</v>
      </c>
      <c r="V331" s="7"/>
      <c r="W331" s="7"/>
      <c r="X331" s="7" t="s">
        <v>2128</v>
      </c>
      <c r="Y331" s="12" t="b">
        <f aca="false">TRUE()</f>
        <v>1</v>
      </c>
      <c r="Z331" s="7" t="s">
        <v>2090</v>
      </c>
      <c r="AA331" s="7" t="s">
        <v>2129</v>
      </c>
      <c r="AB331" s="8"/>
      <c r="AC331" s="6"/>
      <c r="AD331" s="6" t="n">
        <v>3</v>
      </c>
      <c r="AE331" s="6" t="n">
        <v>3</v>
      </c>
      <c r="AF331" s="7" t="s">
        <v>1961</v>
      </c>
      <c r="AG331" s="7" t="s">
        <v>2130</v>
      </c>
      <c r="AH331" s="7" t="s">
        <v>1502</v>
      </c>
      <c r="AI331" s="7" t="s">
        <v>2131</v>
      </c>
      <c r="AJ331" s="7" t="s">
        <v>2132</v>
      </c>
      <c r="AK331" s="7"/>
      <c r="AL331" s="7" t="s">
        <v>2133</v>
      </c>
      <c r="AM331" s="7"/>
      <c r="AN331" s="7"/>
      <c r="AO331" s="7"/>
      <c r="AP331" s="7"/>
      <c r="AQ331" s="8"/>
      <c r="AR331" s="9" t="n">
        <f aca="false">IFERROR(VLOOKUP($X331,Lotes!$A:$E,5,FALSE())*$U331,"")</f>
        <v>250000</v>
      </c>
      <c r="AS331" s="9" t="n">
        <f aca="false">IF($L331="","",$L331*2.6)</f>
        <v>650000</v>
      </c>
      <c r="AT331" s="9"/>
      <c r="AU331" s="9" t="n">
        <v>625000</v>
      </c>
      <c r="AV331" s="9" t="n">
        <v>625000</v>
      </c>
      <c r="AW331" s="9" t="n">
        <v>0</v>
      </c>
      <c r="AX331" s="7" t="s">
        <v>109</v>
      </c>
      <c r="AY331" s="7" t="s">
        <v>575</v>
      </c>
      <c r="AZ331" s="7"/>
      <c r="BA331" s="7" t="s">
        <v>2134</v>
      </c>
      <c r="BB331" s="7" t="s">
        <v>2135</v>
      </c>
      <c r="BC331" s="11" t="s">
        <v>2136</v>
      </c>
      <c r="BD331" s="7" t="s">
        <v>2077</v>
      </c>
      <c r="BE331" s="11"/>
    </row>
    <row r="332" customFormat="false" ht="57.45" hidden="false" customHeight="false" outlineLevel="0" collapsed="false">
      <c r="A332" s="6" t="n">
        <v>331</v>
      </c>
      <c r="B332" s="7"/>
      <c r="C332" s="7" t="s">
        <v>2137</v>
      </c>
      <c r="D332" s="8" t="n">
        <v>39</v>
      </c>
      <c r="E332" s="7" t="s">
        <v>2125</v>
      </c>
      <c r="F332" s="7" t="s">
        <v>86</v>
      </c>
      <c r="G332" s="6" t="n">
        <v>1</v>
      </c>
      <c r="H332" s="7" t="s">
        <v>2126</v>
      </c>
      <c r="I332" s="7"/>
      <c r="J332" s="7"/>
      <c r="K332" s="7" t="s">
        <v>1961</v>
      </c>
      <c r="L332" s="9" t="n">
        <v>50000</v>
      </c>
      <c r="M332" s="9" t="n">
        <v>125</v>
      </c>
      <c r="N332" s="9" t="n">
        <v>150</v>
      </c>
      <c r="O332" s="7" t="s">
        <v>154</v>
      </c>
      <c r="P332" s="7" t="s">
        <v>1730</v>
      </c>
      <c r="Q332" s="7" t="s">
        <v>90</v>
      </c>
      <c r="R332" s="7" t="s">
        <v>2138</v>
      </c>
      <c r="S332" s="7"/>
      <c r="T332" s="7"/>
      <c r="U332" s="10" t="n">
        <v>0.1</v>
      </c>
      <c r="V332" s="7"/>
      <c r="W332" s="7"/>
      <c r="X332" s="7" t="s">
        <v>2128</v>
      </c>
      <c r="Y332" s="12" t="b">
        <f aca="false">TRUE()</f>
        <v>1</v>
      </c>
      <c r="Z332" s="7" t="s">
        <v>2090</v>
      </c>
      <c r="AA332" s="7"/>
      <c r="AB332" s="8"/>
      <c r="AC332" s="6" t="n">
        <v>1</v>
      </c>
      <c r="AD332" s="6" t="n">
        <v>3</v>
      </c>
      <c r="AE332" s="6" t="n">
        <v>3</v>
      </c>
      <c r="AF332" s="7" t="s">
        <v>1961</v>
      </c>
      <c r="AG332" s="7"/>
      <c r="AH332" s="7"/>
      <c r="AI332" s="7"/>
      <c r="AJ332" s="7"/>
      <c r="AK332" s="7"/>
      <c r="AL332" s="7" t="s">
        <v>2139</v>
      </c>
      <c r="AM332" s="7"/>
      <c r="AN332" s="7"/>
      <c r="AO332" s="7"/>
      <c r="AP332" s="7"/>
      <c r="AQ332" s="8"/>
      <c r="AR332" s="9" t="n">
        <f aca="false">IFERROR(VLOOKUP($X332,Lotes!$A:$E,5,FALSE())*$U332,"")</f>
        <v>50000</v>
      </c>
      <c r="AS332" s="9" t="n">
        <f aca="false">IF($L332="","",$L332*2.6)</f>
        <v>130000</v>
      </c>
      <c r="AT332" s="9"/>
      <c r="AU332" s="9" t="n">
        <v>125000</v>
      </c>
      <c r="AV332" s="9" t="n">
        <v>125000</v>
      </c>
      <c r="AW332" s="9" t="n">
        <v>125000</v>
      </c>
      <c r="AX332" s="7" t="s">
        <v>159</v>
      </c>
      <c r="AY332" s="7" t="s">
        <v>160</v>
      </c>
      <c r="AZ332" s="7"/>
      <c r="BA332" s="7" t="s">
        <v>2140</v>
      </c>
      <c r="BB332" s="7" t="s">
        <v>2141</v>
      </c>
      <c r="BC332" s="11" t="s">
        <v>2142</v>
      </c>
      <c r="BD332" s="7" t="s">
        <v>2143</v>
      </c>
      <c r="BE332" s="11" t="s">
        <v>1736</v>
      </c>
    </row>
    <row r="333" customFormat="false" ht="15" hidden="false" customHeight="false" outlineLevel="0" collapsed="false">
      <c r="A333" s="6" t="n">
        <v>332</v>
      </c>
      <c r="B333" s="7"/>
      <c r="C333" s="7" t="s">
        <v>2144</v>
      </c>
      <c r="D333" s="8" t="n">
        <v>30</v>
      </c>
      <c r="E333" s="7" t="s">
        <v>2125</v>
      </c>
      <c r="F333" s="7" t="s">
        <v>86</v>
      </c>
      <c r="G333" s="6" t="n">
        <v>1</v>
      </c>
      <c r="H333" s="7" t="s">
        <v>2126</v>
      </c>
      <c r="I333" s="7"/>
      <c r="J333" s="7"/>
      <c r="K333" s="7" t="s">
        <v>1961</v>
      </c>
      <c r="L333" s="9" t="n">
        <v>40000</v>
      </c>
      <c r="M333" s="9" t="n">
        <v>100</v>
      </c>
      <c r="N333" s="9" t="n">
        <v>120</v>
      </c>
      <c r="O333" s="7" t="s">
        <v>41</v>
      </c>
      <c r="P333" s="7" t="s">
        <v>109</v>
      </c>
      <c r="Q333" s="7" t="s">
        <v>90</v>
      </c>
      <c r="R333" s="7" t="s">
        <v>2145</v>
      </c>
      <c r="S333" s="7"/>
      <c r="T333" s="7"/>
      <c r="U333" s="10" t="n">
        <v>0.08</v>
      </c>
      <c r="V333" s="7"/>
      <c r="W333" s="7"/>
      <c r="X333" s="7" t="s">
        <v>2128</v>
      </c>
      <c r="Y333" s="12" t="b">
        <f aca="false">TRUE()</f>
        <v>1</v>
      </c>
      <c r="Z333" s="7" t="s">
        <v>2090</v>
      </c>
      <c r="AA333" s="7"/>
      <c r="AB333" s="8"/>
      <c r="AC333" s="6" t="n">
        <v>1</v>
      </c>
      <c r="AD333" s="6" t="n">
        <v>3</v>
      </c>
      <c r="AE333" s="6" t="n">
        <v>3</v>
      </c>
      <c r="AF333" s="7" t="s">
        <v>1961</v>
      </c>
      <c r="AG333" s="7"/>
      <c r="AH333" s="7"/>
      <c r="AI333" s="7"/>
      <c r="AJ333" s="7"/>
      <c r="AK333" s="7"/>
      <c r="AL333" s="7" t="s">
        <v>2146</v>
      </c>
      <c r="AM333" s="7"/>
      <c r="AN333" s="7"/>
      <c r="AO333" s="7"/>
      <c r="AP333" s="7"/>
      <c r="AQ333" s="8"/>
      <c r="AR333" s="9" t="n">
        <f aca="false">IFERROR(VLOOKUP($X333,Lotes!$A:$E,5,FALSE())*$U333,"")</f>
        <v>40000</v>
      </c>
      <c r="AS333" s="9" t="n">
        <f aca="false">IF($L333="","",$L333*2.6)</f>
        <v>104000</v>
      </c>
      <c r="AT333" s="9"/>
      <c r="AU333" s="9" t="n">
        <v>100000</v>
      </c>
      <c r="AV333" s="9" t="n">
        <v>100000</v>
      </c>
      <c r="AW333" s="9" t="n">
        <v>0</v>
      </c>
      <c r="AX333" s="7" t="s">
        <v>109</v>
      </c>
      <c r="AY333" s="7" t="s">
        <v>94</v>
      </c>
      <c r="AZ333" s="7"/>
      <c r="BA333" s="7" t="s">
        <v>2147</v>
      </c>
      <c r="BB333" s="7" t="s">
        <v>2148</v>
      </c>
      <c r="BC333" s="11" t="s">
        <v>2149</v>
      </c>
      <c r="BD333" s="7" t="s">
        <v>2077</v>
      </c>
      <c r="BE333" s="11"/>
    </row>
    <row r="334" customFormat="false" ht="15" hidden="false" customHeight="false" outlineLevel="0" collapsed="false">
      <c r="A334" s="6" t="n">
        <v>333</v>
      </c>
      <c r="B334" s="7"/>
      <c r="C334" s="7" t="s">
        <v>2150</v>
      </c>
      <c r="D334" s="8" t="n">
        <v>22</v>
      </c>
      <c r="E334" s="7" t="s">
        <v>2125</v>
      </c>
      <c r="F334" s="7" t="s">
        <v>86</v>
      </c>
      <c r="G334" s="6" t="n">
        <v>1</v>
      </c>
      <c r="H334" s="7" t="s">
        <v>2126</v>
      </c>
      <c r="I334" s="7"/>
      <c r="J334" s="7"/>
      <c r="K334" s="7" t="s">
        <v>1961</v>
      </c>
      <c r="L334" s="9" t="n">
        <v>40000</v>
      </c>
      <c r="M334" s="9" t="n">
        <v>100</v>
      </c>
      <c r="N334" s="9" t="n">
        <v>120</v>
      </c>
      <c r="O334" s="7"/>
      <c r="P334" s="7"/>
      <c r="Q334" s="7" t="s">
        <v>90</v>
      </c>
      <c r="R334" s="7" t="s">
        <v>2151</v>
      </c>
      <c r="S334" s="7"/>
      <c r="T334" s="7"/>
      <c r="U334" s="10" t="n">
        <v>0.08</v>
      </c>
      <c r="V334" s="7"/>
      <c r="W334" s="7"/>
      <c r="X334" s="7" t="s">
        <v>2128</v>
      </c>
      <c r="Y334" s="12" t="b">
        <f aca="false">TRUE()</f>
        <v>1</v>
      </c>
      <c r="Z334" s="7" t="s">
        <v>2090</v>
      </c>
      <c r="AA334" s="7"/>
      <c r="AB334" s="8"/>
      <c r="AC334" s="6" t="n">
        <v>1</v>
      </c>
      <c r="AD334" s="6" t="n">
        <v>3</v>
      </c>
      <c r="AE334" s="6" t="n">
        <v>3</v>
      </c>
      <c r="AF334" s="7" t="s">
        <v>1961</v>
      </c>
      <c r="AG334" s="7"/>
      <c r="AH334" s="7"/>
      <c r="AI334" s="7"/>
      <c r="AJ334" s="7"/>
      <c r="AK334" s="7"/>
      <c r="AL334" s="7" t="s">
        <v>2152</v>
      </c>
      <c r="AM334" s="7"/>
      <c r="AN334" s="7"/>
      <c r="AO334" s="7"/>
      <c r="AP334" s="7"/>
      <c r="AQ334" s="8"/>
      <c r="AR334" s="9" t="n">
        <f aca="false">IFERROR(VLOOKUP($X334,Lotes!$A:$E,5,FALSE())*$U334,"")</f>
        <v>40000</v>
      </c>
      <c r="AS334" s="9" t="n">
        <f aca="false">IF($L334="","",$L334*2.6)</f>
        <v>104000</v>
      </c>
      <c r="AT334" s="9"/>
      <c r="AU334" s="9" t="n">
        <v>100000</v>
      </c>
      <c r="AV334" s="9" t="n">
        <v>90240</v>
      </c>
      <c r="AW334" s="9" t="n">
        <v>0</v>
      </c>
      <c r="AX334" s="7" t="s">
        <v>657</v>
      </c>
      <c r="AY334" s="7" t="s">
        <v>94</v>
      </c>
      <c r="AZ334" s="7"/>
      <c r="BA334" s="7" t="s">
        <v>2153</v>
      </c>
      <c r="BB334" s="7" t="s">
        <v>2154</v>
      </c>
      <c r="BC334" s="11" t="s">
        <v>2155</v>
      </c>
      <c r="BD334" s="7" t="s">
        <v>2096</v>
      </c>
      <c r="BE334" s="11"/>
    </row>
    <row r="335" customFormat="false" ht="57.45" hidden="false" customHeight="false" outlineLevel="0" collapsed="false">
      <c r="A335" s="6" t="n">
        <v>334</v>
      </c>
      <c r="B335" s="7"/>
      <c r="C335" s="7" t="s">
        <v>2156</v>
      </c>
      <c r="D335" s="8" t="n">
        <v>25</v>
      </c>
      <c r="E335" s="7" t="s">
        <v>2125</v>
      </c>
      <c r="F335" s="7" t="s">
        <v>86</v>
      </c>
      <c r="G335" s="6" t="n">
        <v>1</v>
      </c>
      <c r="H335" s="7" t="s">
        <v>2126</v>
      </c>
      <c r="I335" s="7"/>
      <c r="J335" s="7"/>
      <c r="K335" s="7" t="s">
        <v>1961</v>
      </c>
      <c r="L335" s="9" t="n">
        <v>40000</v>
      </c>
      <c r="M335" s="9" t="n">
        <v>100</v>
      </c>
      <c r="N335" s="9" t="n">
        <v>120</v>
      </c>
      <c r="O335" s="7" t="s">
        <v>154</v>
      </c>
      <c r="P335" s="7" t="s">
        <v>1730</v>
      </c>
      <c r="Q335" s="7" t="s">
        <v>90</v>
      </c>
      <c r="R335" s="7" t="s">
        <v>2157</v>
      </c>
      <c r="S335" s="7"/>
      <c r="T335" s="7"/>
      <c r="U335" s="10" t="n">
        <v>0.08</v>
      </c>
      <c r="V335" s="7"/>
      <c r="W335" s="7"/>
      <c r="X335" s="7" t="s">
        <v>2128</v>
      </c>
      <c r="Y335" s="12" t="b">
        <f aca="false">TRUE()</f>
        <v>1</v>
      </c>
      <c r="Z335" s="7" t="s">
        <v>2090</v>
      </c>
      <c r="AA335" s="7"/>
      <c r="AB335" s="8"/>
      <c r="AC335" s="6" t="n">
        <v>1</v>
      </c>
      <c r="AD335" s="6" t="n">
        <v>3</v>
      </c>
      <c r="AE335" s="6" t="n">
        <v>3</v>
      </c>
      <c r="AF335" s="7" t="s">
        <v>1961</v>
      </c>
      <c r="AG335" s="7"/>
      <c r="AH335" s="7"/>
      <c r="AI335" s="7"/>
      <c r="AJ335" s="7"/>
      <c r="AK335" s="7"/>
      <c r="AL335" s="7" t="s">
        <v>2158</v>
      </c>
      <c r="AM335" s="7"/>
      <c r="AN335" s="7"/>
      <c r="AO335" s="7"/>
      <c r="AP335" s="7"/>
      <c r="AQ335" s="8"/>
      <c r="AR335" s="9" t="n">
        <f aca="false">IFERROR(VLOOKUP($X335,Lotes!$A:$E,5,FALSE())*$U335,"")</f>
        <v>40000</v>
      </c>
      <c r="AS335" s="9" t="n">
        <f aca="false">IF($L335="","",$L335*2.6)</f>
        <v>104000</v>
      </c>
      <c r="AT335" s="9"/>
      <c r="AU335" s="9" t="n">
        <v>100000</v>
      </c>
      <c r="AV335" s="9" t="n">
        <v>100000</v>
      </c>
      <c r="AW335" s="9" t="n">
        <v>100000</v>
      </c>
      <c r="AX335" s="7" t="s">
        <v>159</v>
      </c>
      <c r="AY335" s="7" t="s">
        <v>160</v>
      </c>
      <c r="AZ335" s="7"/>
      <c r="BA335" s="7" t="s">
        <v>2159</v>
      </c>
      <c r="BB335" s="7" t="s">
        <v>2160</v>
      </c>
      <c r="BC335" s="11" t="s">
        <v>2161</v>
      </c>
      <c r="BD335" s="7" t="s">
        <v>2143</v>
      </c>
      <c r="BE335" s="11" t="s">
        <v>1736</v>
      </c>
    </row>
    <row r="336" customFormat="false" ht="15" hidden="false" customHeight="false" outlineLevel="0" collapsed="false">
      <c r="A336" s="6" t="n">
        <v>335</v>
      </c>
      <c r="B336" s="7"/>
      <c r="C336" s="7" t="s">
        <v>2162</v>
      </c>
      <c r="D336" s="8" t="n">
        <v>18.2</v>
      </c>
      <c r="E336" s="7" t="s">
        <v>2125</v>
      </c>
      <c r="F336" s="7" t="s">
        <v>86</v>
      </c>
      <c r="G336" s="6" t="n">
        <v>1</v>
      </c>
      <c r="H336" s="7" t="s">
        <v>2126</v>
      </c>
      <c r="I336" s="7"/>
      <c r="J336" s="7"/>
      <c r="K336" s="7" t="s">
        <v>1961</v>
      </c>
      <c r="L336" s="9" t="n">
        <v>40000</v>
      </c>
      <c r="M336" s="9" t="n">
        <v>100</v>
      </c>
      <c r="N336" s="9" t="n">
        <v>120</v>
      </c>
      <c r="O336" s="7" t="s">
        <v>154</v>
      </c>
      <c r="P336" s="7" t="s">
        <v>102</v>
      </c>
      <c r="Q336" s="7" t="s">
        <v>90</v>
      </c>
      <c r="R336" s="7" t="s">
        <v>2163</v>
      </c>
      <c r="S336" s="7"/>
      <c r="T336" s="7"/>
      <c r="U336" s="10" t="n">
        <v>0.08</v>
      </c>
      <c r="V336" s="7"/>
      <c r="W336" s="7"/>
      <c r="X336" s="7" t="s">
        <v>2128</v>
      </c>
      <c r="Y336" s="12" t="b">
        <f aca="false">TRUE()</f>
        <v>1</v>
      </c>
      <c r="Z336" s="7" t="s">
        <v>2090</v>
      </c>
      <c r="AA336" s="7"/>
      <c r="AB336" s="8"/>
      <c r="AC336" s="6" t="n">
        <v>1</v>
      </c>
      <c r="AD336" s="6" t="n">
        <v>3</v>
      </c>
      <c r="AE336" s="6" t="n">
        <v>3</v>
      </c>
      <c r="AF336" s="7" t="s">
        <v>1961</v>
      </c>
      <c r="AG336" s="7"/>
      <c r="AH336" s="7"/>
      <c r="AI336" s="7"/>
      <c r="AJ336" s="7"/>
      <c r="AK336" s="7"/>
      <c r="AL336" s="7" t="s">
        <v>2164</v>
      </c>
      <c r="AM336" s="7"/>
      <c r="AN336" s="7"/>
      <c r="AO336" s="7"/>
      <c r="AP336" s="7"/>
      <c r="AQ336" s="8"/>
      <c r="AR336" s="9" t="n">
        <f aca="false">IFERROR(VLOOKUP($X336,Lotes!$A:$E,5,FALSE())*$U336,"")</f>
        <v>40000</v>
      </c>
      <c r="AS336" s="9" t="n">
        <f aca="false">IF($L336="","",$L336*2.6)</f>
        <v>104000</v>
      </c>
      <c r="AT336" s="9"/>
      <c r="AU336" s="9" t="n">
        <v>100000</v>
      </c>
      <c r="AV336" s="9" t="n">
        <v>80000</v>
      </c>
      <c r="AW336" s="9" t="n">
        <v>0</v>
      </c>
      <c r="AX336" s="7" t="s">
        <v>102</v>
      </c>
      <c r="AY336" s="7" t="s">
        <v>94</v>
      </c>
      <c r="AZ336" s="7"/>
      <c r="BA336" s="7" t="s">
        <v>2165</v>
      </c>
      <c r="BB336" s="7" t="s">
        <v>2166</v>
      </c>
      <c r="BC336" s="11" t="s">
        <v>2167</v>
      </c>
      <c r="BD336" s="7" t="s">
        <v>2077</v>
      </c>
      <c r="BE336" s="11"/>
    </row>
    <row r="337" customFormat="false" ht="46.25" hidden="false" customHeight="false" outlineLevel="0" collapsed="false">
      <c r="A337" s="6" t="n">
        <v>336</v>
      </c>
      <c r="B337" s="7"/>
      <c r="C337" s="7" t="s">
        <v>2168</v>
      </c>
      <c r="D337" s="8" t="n">
        <v>21</v>
      </c>
      <c r="E337" s="7" t="s">
        <v>2125</v>
      </c>
      <c r="F337" s="7" t="s">
        <v>86</v>
      </c>
      <c r="G337" s="6" t="n">
        <v>1</v>
      </c>
      <c r="H337" s="7" t="s">
        <v>2126</v>
      </c>
      <c r="I337" s="7"/>
      <c r="J337" s="7"/>
      <c r="K337" s="7" t="s">
        <v>1961</v>
      </c>
      <c r="L337" s="9" t="n">
        <v>40000</v>
      </c>
      <c r="M337" s="9" t="n">
        <v>100</v>
      </c>
      <c r="N337" s="9" t="n">
        <v>120</v>
      </c>
      <c r="O337" s="7"/>
      <c r="P337" s="7" t="s">
        <v>1032</v>
      </c>
      <c r="Q337" s="7" t="s">
        <v>1033</v>
      </c>
      <c r="R337" s="7" t="s">
        <v>2169</v>
      </c>
      <c r="S337" s="7"/>
      <c r="T337" s="7"/>
      <c r="U337" s="10" t="n">
        <v>0.08</v>
      </c>
      <c r="V337" s="7" t="s">
        <v>1032</v>
      </c>
      <c r="W337" s="7" t="s">
        <v>1033</v>
      </c>
      <c r="X337" s="7" t="s">
        <v>2128</v>
      </c>
      <c r="Y337" s="12" t="b">
        <f aca="false">TRUE()</f>
        <v>1</v>
      </c>
      <c r="Z337" s="7" t="s">
        <v>2090</v>
      </c>
      <c r="AA337" s="7"/>
      <c r="AB337" s="8"/>
      <c r="AC337" s="6" t="n">
        <v>1</v>
      </c>
      <c r="AD337" s="6" t="n">
        <v>3</v>
      </c>
      <c r="AE337" s="6" t="n">
        <v>3</v>
      </c>
      <c r="AF337" s="7" t="s">
        <v>1961</v>
      </c>
      <c r="AG337" s="7"/>
      <c r="AH337" s="7"/>
      <c r="AI337" s="7"/>
      <c r="AJ337" s="7"/>
      <c r="AK337" s="7"/>
      <c r="AL337" s="7" t="s">
        <v>2170</v>
      </c>
      <c r="AM337" s="7"/>
      <c r="AN337" s="7"/>
      <c r="AO337" s="7"/>
      <c r="AP337" s="7"/>
      <c r="AQ337" s="8"/>
      <c r="AR337" s="9" t="n">
        <f aca="false">IFERROR(VLOOKUP($X337,Lotes!$A:$E,5,FALSE())*$U337,"")</f>
        <v>40000</v>
      </c>
      <c r="AS337" s="9" t="n">
        <f aca="false">IF($L337="","",$L337*2.6)</f>
        <v>104000</v>
      </c>
      <c r="AT337" s="9"/>
      <c r="AU337" s="9" t="n">
        <v>100000</v>
      </c>
      <c r="AV337" s="9" t="n">
        <v>100000</v>
      </c>
      <c r="AW337" s="9" t="n">
        <v>100000</v>
      </c>
      <c r="AX337" s="7" t="s">
        <v>159</v>
      </c>
      <c r="AY337" s="7" t="s">
        <v>160</v>
      </c>
      <c r="AZ337" s="7"/>
      <c r="BA337" s="7" t="s">
        <v>2171</v>
      </c>
      <c r="BB337" s="7" t="s">
        <v>2172</v>
      </c>
      <c r="BC337" s="11" t="s">
        <v>2173</v>
      </c>
      <c r="BD337" s="7" t="s">
        <v>2174</v>
      </c>
      <c r="BE337" s="11" t="s">
        <v>1039</v>
      </c>
    </row>
    <row r="338" customFormat="false" ht="79.85" hidden="false" customHeight="false" outlineLevel="0" collapsed="false">
      <c r="A338" s="6" t="n">
        <v>337</v>
      </c>
      <c r="B338" s="7"/>
      <c r="C338" s="7" t="s">
        <v>2175</v>
      </c>
      <c r="D338" s="8" t="n">
        <v>70.425</v>
      </c>
      <c r="E338" s="7" t="s">
        <v>85</v>
      </c>
      <c r="F338" s="7" t="s">
        <v>86</v>
      </c>
      <c r="G338" s="6" t="n">
        <v>28</v>
      </c>
      <c r="H338" s="7" t="s">
        <v>2126</v>
      </c>
      <c r="I338" s="7"/>
      <c r="J338" s="7"/>
      <c r="K338" s="7" t="s">
        <v>1961</v>
      </c>
      <c r="L338" s="9" t="n">
        <v>400000</v>
      </c>
      <c r="M338" s="9" t="n">
        <v>800</v>
      </c>
      <c r="N338" s="9"/>
      <c r="O338" s="7" t="s">
        <v>154</v>
      </c>
      <c r="P338" s="7" t="s">
        <v>89</v>
      </c>
      <c r="Q338" s="7" t="s">
        <v>155</v>
      </c>
      <c r="R338" s="7" t="s">
        <v>2176</v>
      </c>
      <c r="S338" s="7"/>
      <c r="T338" s="7"/>
      <c r="U338" s="10" t="n">
        <v>0.8</v>
      </c>
      <c r="V338" s="7"/>
      <c r="W338" s="7"/>
      <c r="X338" s="7" t="s">
        <v>2177</v>
      </c>
      <c r="Y338" s="12" t="b">
        <f aca="false">FALSE()</f>
        <v>0</v>
      </c>
      <c r="Z338" s="7" t="s">
        <v>2090</v>
      </c>
      <c r="AA338" s="7"/>
      <c r="AB338" s="8"/>
      <c r="AC338" s="6"/>
      <c r="AD338" s="6" t="n">
        <v>3</v>
      </c>
      <c r="AE338" s="6" t="n">
        <v>3</v>
      </c>
      <c r="AF338" s="7" t="s">
        <v>1961</v>
      </c>
      <c r="AG338" s="7" t="s">
        <v>2178</v>
      </c>
      <c r="AH338" s="7" t="s">
        <v>1961</v>
      </c>
      <c r="AI338" s="7"/>
      <c r="AJ338" s="7"/>
      <c r="AK338" s="7"/>
      <c r="AL338" s="7" t="s">
        <v>2179</v>
      </c>
      <c r="AM338" s="7"/>
      <c r="AN338" s="7"/>
      <c r="AO338" s="7"/>
      <c r="AP338" s="7"/>
      <c r="AQ338" s="8" t="n">
        <v>14.085</v>
      </c>
      <c r="AR338" s="9" t="n">
        <f aca="false">IFERROR(VLOOKUP($X338,Lotes!$A:$E,5,FALSE())*$U338,"")</f>
        <v>400000</v>
      </c>
      <c r="AS338" s="9" t="n">
        <f aca="false">IF($L338="","",$L338*2.6)</f>
        <v>1040000</v>
      </c>
      <c r="AT338" s="9"/>
      <c r="AU338" s="9" t="n">
        <v>800000</v>
      </c>
      <c r="AV338" s="9" t="n">
        <v>800000</v>
      </c>
      <c r="AW338" s="9" t="n">
        <v>800000</v>
      </c>
      <c r="AX338" s="7" t="s">
        <v>159</v>
      </c>
      <c r="AY338" s="7" t="s">
        <v>160</v>
      </c>
      <c r="AZ338" s="7"/>
      <c r="BA338" s="7" t="s">
        <v>2180</v>
      </c>
      <c r="BB338" s="7" t="s">
        <v>2181</v>
      </c>
      <c r="BC338" s="11" t="s">
        <v>2182</v>
      </c>
      <c r="BD338" s="7" t="s">
        <v>2077</v>
      </c>
      <c r="BE338" s="11" t="s">
        <v>2183</v>
      </c>
    </row>
    <row r="339" customFormat="false" ht="23.85" hidden="false" customHeight="false" outlineLevel="0" collapsed="false">
      <c r="A339" s="6" t="n">
        <v>338</v>
      </c>
      <c r="B339" s="7"/>
      <c r="C339" s="7" t="s">
        <v>2184</v>
      </c>
      <c r="D339" s="8"/>
      <c r="E339" s="7" t="s">
        <v>85</v>
      </c>
      <c r="F339" s="7" t="s">
        <v>123</v>
      </c>
      <c r="G339" s="6" t="n">
        <v>4</v>
      </c>
      <c r="H339" s="7" t="s">
        <v>2126</v>
      </c>
      <c r="I339" s="7"/>
      <c r="J339" s="7"/>
      <c r="K339" s="7" t="s">
        <v>1961</v>
      </c>
      <c r="L339" s="9" t="n">
        <v>100000</v>
      </c>
      <c r="M339" s="9" t="n">
        <v>200</v>
      </c>
      <c r="N339" s="9"/>
      <c r="O339" s="7" t="s">
        <v>817</v>
      </c>
      <c r="P339" s="7" t="s">
        <v>109</v>
      </c>
      <c r="Q339" s="7" t="s">
        <v>155</v>
      </c>
      <c r="R339" s="7" t="s">
        <v>2185</v>
      </c>
      <c r="S339" s="7"/>
      <c r="T339" s="7"/>
      <c r="U339" s="10" t="n">
        <v>0.2</v>
      </c>
      <c r="V339" s="7"/>
      <c r="W339" s="7"/>
      <c r="X339" s="7" t="s">
        <v>2177</v>
      </c>
      <c r="Y339" s="12" t="b">
        <f aca="false">FALSE()</f>
        <v>0</v>
      </c>
      <c r="Z339" s="7" t="s">
        <v>2090</v>
      </c>
      <c r="AA339" s="7" t="s">
        <v>2186</v>
      </c>
      <c r="AB339" s="8"/>
      <c r="AC339" s="6"/>
      <c r="AD339" s="6" t="n">
        <v>4</v>
      </c>
      <c r="AE339" s="6" t="n">
        <v>4</v>
      </c>
      <c r="AF339" s="7" t="s">
        <v>1961</v>
      </c>
      <c r="AG339" s="7" t="s">
        <v>2178</v>
      </c>
      <c r="AH339" s="7" t="s">
        <v>1961</v>
      </c>
      <c r="AI339" s="7"/>
      <c r="AJ339" s="7"/>
      <c r="AK339" s="7"/>
      <c r="AL339" s="7" t="s">
        <v>2187</v>
      </c>
      <c r="AM339" s="7"/>
      <c r="AN339" s="7"/>
      <c r="AO339" s="7"/>
      <c r="AP339" s="7"/>
      <c r="AQ339" s="8" t="n">
        <v>5.7</v>
      </c>
      <c r="AR339" s="9" t="n">
        <f aca="false">IFERROR(VLOOKUP($X339,Lotes!$A:$E,5,FALSE())*$U339,"")</f>
        <v>100000</v>
      </c>
      <c r="AS339" s="9" t="n">
        <f aca="false">IF($L339="","",$L339*2.6)</f>
        <v>260000</v>
      </c>
      <c r="AT339" s="9"/>
      <c r="AU339" s="9" t="n">
        <v>200000</v>
      </c>
      <c r="AV339" s="9" t="n">
        <v>200000</v>
      </c>
      <c r="AW339" s="9" t="n">
        <v>200000</v>
      </c>
      <c r="AX339" s="7" t="s">
        <v>109</v>
      </c>
      <c r="AY339" s="7" t="s">
        <v>2188</v>
      </c>
      <c r="AZ339" s="7"/>
      <c r="BA339" s="7" t="s">
        <v>2189</v>
      </c>
      <c r="BB339" s="7" t="s">
        <v>2190</v>
      </c>
      <c r="BC339" s="11" t="s">
        <v>2191</v>
      </c>
      <c r="BD339" s="7" t="s">
        <v>2077</v>
      </c>
      <c r="BE339" s="11"/>
    </row>
    <row r="340" customFormat="false" ht="35.05" hidden="false" customHeight="false" outlineLevel="0" collapsed="false">
      <c r="A340" s="6" t="n">
        <v>339</v>
      </c>
      <c r="B340" s="7"/>
      <c r="C340" s="7" t="s">
        <v>2192</v>
      </c>
      <c r="D340" s="8" t="n">
        <v>4.04</v>
      </c>
      <c r="E340" s="7" t="s">
        <v>85</v>
      </c>
      <c r="F340" s="7" t="s">
        <v>2067</v>
      </c>
      <c r="G340" s="6" t="n">
        <v>7</v>
      </c>
      <c r="H340" s="7" t="s">
        <v>2193</v>
      </c>
      <c r="I340" s="7" t="s">
        <v>303</v>
      </c>
      <c r="J340" s="7" t="s">
        <v>2194</v>
      </c>
      <c r="K340" s="7" t="s">
        <v>2069</v>
      </c>
      <c r="L340" s="9" t="n">
        <v>1300000</v>
      </c>
      <c r="M340" s="9" t="n">
        <v>2600000</v>
      </c>
      <c r="N340" s="9" t="n">
        <v>5200000</v>
      </c>
      <c r="O340" s="7"/>
      <c r="P340" s="7"/>
      <c r="Q340" s="7" t="s">
        <v>155</v>
      </c>
      <c r="R340" s="7" t="s">
        <v>2195</v>
      </c>
      <c r="S340" s="7"/>
      <c r="T340" s="7"/>
      <c r="U340" s="10" t="n">
        <v>0.1</v>
      </c>
      <c r="V340" s="7"/>
      <c r="W340" s="7"/>
      <c r="X340" s="7" t="s">
        <v>2196</v>
      </c>
      <c r="Y340" s="12" t="b">
        <f aca="false">TRUE()</f>
        <v>1</v>
      </c>
      <c r="Z340" s="7" t="s">
        <v>2090</v>
      </c>
      <c r="AA340" s="7" t="s">
        <v>2197</v>
      </c>
      <c r="AB340" s="8"/>
      <c r="AC340" s="6"/>
      <c r="AD340" s="6" t="n">
        <v>5</v>
      </c>
      <c r="AE340" s="6" t="n">
        <v>6</v>
      </c>
      <c r="AF340" s="7" t="s">
        <v>2069</v>
      </c>
      <c r="AG340" s="7" t="s">
        <v>88</v>
      </c>
      <c r="AH340" s="7"/>
      <c r="AI340" s="7"/>
      <c r="AJ340" s="7"/>
      <c r="AK340" s="7"/>
      <c r="AL340" s="7" t="s">
        <v>2198</v>
      </c>
      <c r="AM340" s="7"/>
      <c r="AN340" s="7"/>
      <c r="AO340" s="7"/>
      <c r="AP340" s="7"/>
      <c r="AQ340" s="8"/>
      <c r="AR340" s="9" t="n">
        <f aca="false">IFERROR(VLOOKUP($X340,Lotes!$A:$E,5,FALSE())*$U340,"")</f>
        <v>130000</v>
      </c>
      <c r="AS340" s="9" t="n">
        <f aca="false">IF($L340="","",$L340*2.6)</f>
        <v>3380000</v>
      </c>
      <c r="AT340" s="9" t="n">
        <v>4210084.034</v>
      </c>
      <c r="AU340" s="9" t="n">
        <v>2600000</v>
      </c>
      <c r="AV340" s="9" t="n">
        <v>2600000</v>
      </c>
      <c r="AW340" s="9" t="n">
        <v>0</v>
      </c>
      <c r="AX340" s="7" t="s">
        <v>109</v>
      </c>
      <c r="AY340" s="7" t="s">
        <v>575</v>
      </c>
      <c r="AZ340" s="7"/>
      <c r="BA340" s="7" t="s">
        <v>2199</v>
      </c>
      <c r="BB340" s="7" t="s">
        <v>2200</v>
      </c>
      <c r="BC340" s="11" t="s">
        <v>2201</v>
      </c>
      <c r="BD340" s="7" t="s">
        <v>2143</v>
      </c>
      <c r="BE340" s="11" t="s">
        <v>2202</v>
      </c>
    </row>
    <row r="341" customFormat="false" ht="15" hidden="false" customHeight="false" outlineLevel="0" collapsed="false">
      <c r="A341" s="6" t="n">
        <v>340</v>
      </c>
      <c r="B341" s="7"/>
      <c r="C341" s="7" t="s">
        <v>2203</v>
      </c>
      <c r="D341" s="8" t="n">
        <v>18.8</v>
      </c>
      <c r="E341" s="7" t="s">
        <v>245</v>
      </c>
      <c r="F341" s="7" t="s">
        <v>86</v>
      </c>
      <c r="G341" s="6" t="n">
        <v>1</v>
      </c>
      <c r="H341" s="7" t="s">
        <v>2193</v>
      </c>
      <c r="I341" s="7"/>
      <c r="J341" s="7"/>
      <c r="K341" s="7" t="s">
        <v>158</v>
      </c>
      <c r="L341" s="9" t="n">
        <v>202000</v>
      </c>
      <c r="M341" s="9" t="n">
        <v>606</v>
      </c>
      <c r="N341" s="9" t="n">
        <v>727</v>
      </c>
      <c r="O341" s="7" t="s">
        <v>154</v>
      </c>
      <c r="P341" s="7" t="s">
        <v>657</v>
      </c>
      <c r="Q341" s="7" t="s">
        <v>90</v>
      </c>
      <c r="R341" s="7" t="s">
        <v>2204</v>
      </c>
      <c r="S341" s="7"/>
      <c r="T341" s="7"/>
      <c r="U341" s="10" t="n">
        <v>0.2</v>
      </c>
      <c r="V341" s="7"/>
      <c r="W341" s="7"/>
      <c r="X341" s="7" t="s">
        <v>2205</v>
      </c>
      <c r="Y341" s="12" t="b">
        <f aca="false">TRUE()</f>
        <v>1</v>
      </c>
      <c r="Z341" s="7" t="s">
        <v>2090</v>
      </c>
      <c r="AA341" s="7" t="s">
        <v>2206</v>
      </c>
      <c r="AB341" s="8"/>
      <c r="AC341" s="6"/>
      <c r="AD341" s="6" t="n">
        <v>5</v>
      </c>
      <c r="AE341" s="6" t="n">
        <v>6</v>
      </c>
      <c r="AF341" s="7" t="s">
        <v>158</v>
      </c>
      <c r="AG341" s="7" t="s">
        <v>88</v>
      </c>
      <c r="AH341" s="7"/>
      <c r="AI341" s="7"/>
      <c r="AJ341" s="7"/>
      <c r="AK341" s="7"/>
      <c r="AL341" s="7" t="s">
        <v>2207</v>
      </c>
      <c r="AM341" s="7"/>
      <c r="AN341" s="7"/>
      <c r="AO341" s="7"/>
      <c r="AP341" s="7"/>
      <c r="AQ341" s="8"/>
      <c r="AR341" s="9" t="n">
        <f aca="false">IFERROR(VLOOKUP($X341,Lotes!$A:$E,5,FALSE())*$U341,"")</f>
        <v>202000</v>
      </c>
      <c r="AS341" s="9" t="n">
        <f aca="false">IF($L341="","",$L341*2.6)</f>
        <v>525200</v>
      </c>
      <c r="AT341" s="9"/>
      <c r="AU341" s="9" t="n">
        <v>606000</v>
      </c>
      <c r="AV341" s="9" t="n">
        <v>404808</v>
      </c>
      <c r="AW341" s="9" t="n">
        <v>0</v>
      </c>
      <c r="AX341" s="7" t="s">
        <v>657</v>
      </c>
      <c r="AY341" s="7" t="s">
        <v>94</v>
      </c>
      <c r="AZ341" s="7"/>
      <c r="BA341" s="7" t="s">
        <v>2208</v>
      </c>
      <c r="BB341" s="7" t="s">
        <v>2209</v>
      </c>
      <c r="BC341" s="11" t="s">
        <v>2210</v>
      </c>
      <c r="BD341" s="7" t="s">
        <v>2077</v>
      </c>
      <c r="BE341" s="11" t="s">
        <v>763</v>
      </c>
    </row>
    <row r="342" customFormat="false" ht="23.85" hidden="false" customHeight="false" outlineLevel="0" collapsed="false">
      <c r="A342" s="6" t="n">
        <v>341</v>
      </c>
      <c r="B342" s="7"/>
      <c r="C342" s="7" t="s">
        <v>2211</v>
      </c>
      <c r="D342" s="8" t="n">
        <v>8.6</v>
      </c>
      <c r="E342" s="7" t="s">
        <v>2212</v>
      </c>
      <c r="F342" s="7" t="s">
        <v>86</v>
      </c>
      <c r="G342" s="6" t="n">
        <v>1</v>
      </c>
      <c r="H342" s="7" t="s">
        <v>2193</v>
      </c>
      <c r="I342" s="7"/>
      <c r="J342" s="7"/>
      <c r="K342" s="7" t="s">
        <v>158</v>
      </c>
      <c r="L342" s="9" t="n">
        <v>181800</v>
      </c>
      <c r="M342" s="9" t="n">
        <v>455</v>
      </c>
      <c r="N342" s="9" t="n">
        <v>545</v>
      </c>
      <c r="O342" s="7" t="s">
        <v>154</v>
      </c>
      <c r="P342" s="7" t="s">
        <v>109</v>
      </c>
      <c r="Q342" s="7" t="s">
        <v>155</v>
      </c>
      <c r="R342" s="7" t="s">
        <v>2213</v>
      </c>
      <c r="S342" s="7"/>
      <c r="T342" s="7"/>
      <c r="U342" s="10" t="n">
        <v>0.18</v>
      </c>
      <c r="V342" s="7"/>
      <c r="W342" s="7"/>
      <c r="X342" s="7" t="s">
        <v>2205</v>
      </c>
      <c r="Y342" s="12" t="b">
        <f aca="false">TRUE()</f>
        <v>1</v>
      </c>
      <c r="Z342" s="7" t="s">
        <v>2090</v>
      </c>
      <c r="AA342" s="7"/>
      <c r="AB342" s="8"/>
      <c r="AC342" s="6"/>
      <c r="AD342" s="6" t="n">
        <v>5</v>
      </c>
      <c r="AE342" s="6"/>
      <c r="AF342" s="7" t="s">
        <v>158</v>
      </c>
      <c r="AG342" s="7" t="s">
        <v>88</v>
      </c>
      <c r="AH342" s="7"/>
      <c r="AI342" s="7"/>
      <c r="AJ342" s="7"/>
      <c r="AK342" s="7"/>
      <c r="AL342" s="7" t="s">
        <v>2214</v>
      </c>
      <c r="AM342" s="7"/>
      <c r="AN342" s="7"/>
      <c r="AO342" s="7"/>
      <c r="AP342" s="7"/>
      <c r="AQ342" s="8"/>
      <c r="AR342" s="9" t="n">
        <f aca="false">IFERROR(VLOOKUP($X342,Lotes!$A:$E,5,FALSE())*$U342,"")</f>
        <v>181800</v>
      </c>
      <c r="AS342" s="9" t="n">
        <f aca="false">IF($L342="","",$L342*2.6)</f>
        <v>472680</v>
      </c>
      <c r="AT342" s="9"/>
      <c r="AU342" s="9" t="n">
        <v>455000</v>
      </c>
      <c r="AV342" s="9" t="n">
        <v>455000</v>
      </c>
      <c r="AW342" s="9" t="n">
        <v>0</v>
      </c>
      <c r="AX342" s="7" t="s">
        <v>109</v>
      </c>
      <c r="AY342" s="7" t="s">
        <v>575</v>
      </c>
      <c r="AZ342" s="7"/>
      <c r="BA342" s="7" t="s">
        <v>2215</v>
      </c>
      <c r="BB342" s="7" t="s">
        <v>2216</v>
      </c>
      <c r="BC342" s="11" t="s">
        <v>2217</v>
      </c>
      <c r="BD342" s="7" t="s">
        <v>2077</v>
      </c>
      <c r="BE342" s="11" t="s">
        <v>2218</v>
      </c>
    </row>
    <row r="343" customFormat="false" ht="68.65" hidden="false" customHeight="false" outlineLevel="0" collapsed="false">
      <c r="A343" s="6" t="n">
        <v>342</v>
      </c>
      <c r="B343" s="7"/>
      <c r="C343" s="7" t="s">
        <v>2219</v>
      </c>
      <c r="D343" s="8" t="n">
        <v>6.3</v>
      </c>
      <c r="E343" s="7" t="s">
        <v>2212</v>
      </c>
      <c r="F343" s="7" t="s">
        <v>86</v>
      </c>
      <c r="G343" s="6" t="n">
        <v>1</v>
      </c>
      <c r="H343" s="7" t="s">
        <v>2193</v>
      </c>
      <c r="I343" s="7"/>
      <c r="J343" s="7"/>
      <c r="K343" s="7" t="s">
        <v>158</v>
      </c>
      <c r="L343" s="9" t="n">
        <v>181800</v>
      </c>
      <c r="M343" s="9" t="n">
        <v>455</v>
      </c>
      <c r="N343" s="9" t="n">
        <v>545</v>
      </c>
      <c r="O343" s="7" t="s">
        <v>154</v>
      </c>
      <c r="P343" s="7" t="s">
        <v>2220</v>
      </c>
      <c r="Q343" s="7" t="s">
        <v>155</v>
      </c>
      <c r="R343" s="7" t="s">
        <v>2221</v>
      </c>
      <c r="S343" s="7"/>
      <c r="T343" s="7"/>
      <c r="U343" s="10" t="n">
        <v>0.18</v>
      </c>
      <c r="V343" s="7"/>
      <c r="W343" s="7"/>
      <c r="X343" s="7" t="s">
        <v>2205</v>
      </c>
      <c r="Y343" s="12" t="b">
        <f aca="false">TRUE()</f>
        <v>1</v>
      </c>
      <c r="Z343" s="7" t="s">
        <v>2090</v>
      </c>
      <c r="AA343" s="7"/>
      <c r="AB343" s="8"/>
      <c r="AC343" s="6"/>
      <c r="AD343" s="6" t="n">
        <v>5</v>
      </c>
      <c r="AE343" s="6"/>
      <c r="AF343" s="7" t="s">
        <v>158</v>
      </c>
      <c r="AG343" s="7" t="s">
        <v>88</v>
      </c>
      <c r="AH343" s="7"/>
      <c r="AI343" s="7"/>
      <c r="AJ343" s="7"/>
      <c r="AK343" s="7"/>
      <c r="AL343" s="7" t="s">
        <v>2222</v>
      </c>
      <c r="AM343" s="7"/>
      <c r="AN343" s="7"/>
      <c r="AO343" s="7"/>
      <c r="AP343" s="7"/>
      <c r="AQ343" s="8"/>
      <c r="AR343" s="9" t="n">
        <f aca="false">IFERROR(VLOOKUP($X343,Lotes!$A:$E,5,FALSE())*$U343,"")</f>
        <v>181800</v>
      </c>
      <c r="AS343" s="9" t="n">
        <f aca="false">IF($L343="","",$L343*2.6)</f>
        <v>472680</v>
      </c>
      <c r="AT343" s="9"/>
      <c r="AU343" s="9" t="n">
        <v>455000</v>
      </c>
      <c r="AV343" s="9" t="n">
        <v>455000</v>
      </c>
      <c r="AW343" s="9" t="n">
        <v>455000</v>
      </c>
      <c r="AX343" s="7" t="s">
        <v>159</v>
      </c>
      <c r="AY343" s="7" t="s">
        <v>160</v>
      </c>
      <c r="AZ343" s="7"/>
      <c r="BA343" s="7" t="s">
        <v>2223</v>
      </c>
      <c r="BB343" s="7" t="s">
        <v>2224</v>
      </c>
      <c r="BC343" s="11" t="s">
        <v>2225</v>
      </c>
      <c r="BD343" s="7" t="s">
        <v>2143</v>
      </c>
      <c r="BE343" s="11" t="s">
        <v>2226</v>
      </c>
    </row>
    <row r="344" customFormat="false" ht="23.85" hidden="false" customHeight="false" outlineLevel="0" collapsed="false">
      <c r="A344" s="6" t="n">
        <v>343</v>
      </c>
      <c r="B344" s="7"/>
      <c r="C344" s="7" t="s">
        <v>2227</v>
      </c>
      <c r="D344" s="8" t="n">
        <v>3.8</v>
      </c>
      <c r="E344" s="7" t="s">
        <v>2212</v>
      </c>
      <c r="F344" s="7" t="s">
        <v>86</v>
      </c>
      <c r="G344" s="6" t="n">
        <v>1</v>
      </c>
      <c r="H344" s="7" t="s">
        <v>2193</v>
      </c>
      <c r="I344" s="7"/>
      <c r="J344" s="7"/>
      <c r="K344" s="7" t="s">
        <v>158</v>
      </c>
      <c r="L344" s="9" t="n">
        <v>181800</v>
      </c>
      <c r="M344" s="9" t="n">
        <v>455</v>
      </c>
      <c r="N344" s="9" t="n">
        <v>545</v>
      </c>
      <c r="O344" s="7" t="s">
        <v>154</v>
      </c>
      <c r="P344" s="7" t="s">
        <v>109</v>
      </c>
      <c r="Q344" s="7" t="s">
        <v>155</v>
      </c>
      <c r="R344" s="7" t="s">
        <v>2228</v>
      </c>
      <c r="S344" s="7"/>
      <c r="T344" s="7"/>
      <c r="U344" s="10" t="n">
        <v>0.18</v>
      </c>
      <c r="V344" s="7"/>
      <c r="W344" s="7"/>
      <c r="X344" s="7" t="s">
        <v>2205</v>
      </c>
      <c r="Y344" s="12" t="b">
        <f aca="false">TRUE()</f>
        <v>1</v>
      </c>
      <c r="Z344" s="7" t="s">
        <v>2090</v>
      </c>
      <c r="AA344" s="7"/>
      <c r="AB344" s="8"/>
      <c r="AC344" s="6"/>
      <c r="AD344" s="6" t="n">
        <v>5</v>
      </c>
      <c r="AE344" s="6" t="n">
        <v>5</v>
      </c>
      <c r="AF344" s="7" t="s">
        <v>158</v>
      </c>
      <c r="AG344" s="7" t="s">
        <v>88</v>
      </c>
      <c r="AH344" s="7"/>
      <c r="AI344" s="7"/>
      <c r="AJ344" s="7"/>
      <c r="AK344" s="7"/>
      <c r="AL344" s="7" t="s">
        <v>2229</v>
      </c>
      <c r="AM344" s="7"/>
      <c r="AN344" s="7"/>
      <c r="AO344" s="7"/>
      <c r="AP344" s="7"/>
      <c r="AQ344" s="8"/>
      <c r="AR344" s="9" t="n">
        <f aca="false">IFERROR(VLOOKUP($X344,Lotes!$A:$E,5,FALSE())*$U344,"")</f>
        <v>181800</v>
      </c>
      <c r="AS344" s="9" t="n">
        <f aca="false">IF($L344="","",$L344*2.6)</f>
        <v>472680</v>
      </c>
      <c r="AT344" s="9"/>
      <c r="AU344" s="9" t="n">
        <v>455000</v>
      </c>
      <c r="AV344" s="9" t="n">
        <v>455000</v>
      </c>
      <c r="AW344" s="9" t="n">
        <v>0</v>
      </c>
      <c r="AX344" s="7" t="s">
        <v>109</v>
      </c>
      <c r="AY344" s="7" t="s">
        <v>575</v>
      </c>
      <c r="AZ344" s="7"/>
      <c r="BA344" s="7" t="s">
        <v>2230</v>
      </c>
      <c r="BB344" s="7" t="s">
        <v>2231</v>
      </c>
      <c r="BC344" s="11" t="s">
        <v>2232</v>
      </c>
      <c r="BD344" s="7" t="s">
        <v>2077</v>
      </c>
      <c r="BE344" s="11" t="s">
        <v>2233</v>
      </c>
    </row>
    <row r="345" customFormat="false" ht="15" hidden="false" customHeight="false" outlineLevel="0" collapsed="false">
      <c r="A345" s="6" t="n">
        <v>344</v>
      </c>
      <c r="B345" s="7"/>
      <c r="C345" s="7" t="s">
        <v>2234</v>
      </c>
      <c r="D345" s="8" t="n">
        <v>2.42</v>
      </c>
      <c r="E345" s="7" t="s">
        <v>2212</v>
      </c>
      <c r="F345" s="7" t="s">
        <v>86</v>
      </c>
      <c r="G345" s="6" t="n">
        <v>2</v>
      </c>
      <c r="H345" s="7" t="s">
        <v>2193</v>
      </c>
      <c r="I345" s="7"/>
      <c r="J345" s="7"/>
      <c r="K345" s="7" t="s">
        <v>158</v>
      </c>
      <c r="L345" s="9" t="n">
        <v>181800</v>
      </c>
      <c r="M345" s="9" t="n">
        <v>455</v>
      </c>
      <c r="N345" s="9" t="n">
        <v>545</v>
      </c>
      <c r="O345" s="7" t="s">
        <v>154</v>
      </c>
      <c r="P345" s="7" t="s">
        <v>109</v>
      </c>
      <c r="Q345" s="7" t="s">
        <v>155</v>
      </c>
      <c r="R345" s="7" t="s">
        <v>2235</v>
      </c>
      <c r="S345" s="7"/>
      <c r="T345" s="7"/>
      <c r="U345" s="10" t="n">
        <v>0.18</v>
      </c>
      <c r="V345" s="7"/>
      <c r="W345" s="7"/>
      <c r="X345" s="7" t="s">
        <v>2205</v>
      </c>
      <c r="Y345" s="12" t="b">
        <f aca="false">TRUE()</f>
        <v>1</v>
      </c>
      <c r="Z345" s="7" t="s">
        <v>2090</v>
      </c>
      <c r="AA345" s="7"/>
      <c r="AB345" s="8"/>
      <c r="AC345" s="6"/>
      <c r="AD345" s="6" t="n">
        <v>5</v>
      </c>
      <c r="AE345" s="6" t="n">
        <v>5</v>
      </c>
      <c r="AF345" s="7" t="s">
        <v>158</v>
      </c>
      <c r="AG345" s="7" t="s">
        <v>88</v>
      </c>
      <c r="AH345" s="7"/>
      <c r="AI345" s="7"/>
      <c r="AJ345" s="7"/>
      <c r="AK345" s="7"/>
      <c r="AL345" s="7" t="s">
        <v>2236</v>
      </c>
      <c r="AM345" s="7"/>
      <c r="AN345" s="7"/>
      <c r="AO345" s="7"/>
      <c r="AP345" s="7"/>
      <c r="AQ345" s="8"/>
      <c r="AR345" s="9" t="n">
        <f aca="false">IFERROR(VLOOKUP($X345,Lotes!$A:$E,5,FALSE())*$U345,"")</f>
        <v>181800</v>
      </c>
      <c r="AS345" s="9" t="n">
        <f aca="false">IF($L345="","",$L345*2.6)</f>
        <v>472680</v>
      </c>
      <c r="AT345" s="9"/>
      <c r="AU345" s="9" t="n">
        <v>455000</v>
      </c>
      <c r="AV345" s="9" t="n">
        <v>455000</v>
      </c>
      <c r="AW345" s="9" t="n">
        <v>0</v>
      </c>
      <c r="AX345" s="7" t="s">
        <v>109</v>
      </c>
      <c r="AY345" s="7" t="s">
        <v>575</v>
      </c>
      <c r="AZ345" s="7"/>
      <c r="BA345" s="7" t="s">
        <v>2237</v>
      </c>
      <c r="BB345" s="7" t="s">
        <v>2238</v>
      </c>
      <c r="BC345" s="11" t="s">
        <v>2239</v>
      </c>
      <c r="BD345" s="7" t="s">
        <v>2077</v>
      </c>
      <c r="BE345" s="11"/>
    </row>
    <row r="346" customFormat="false" ht="15" hidden="false" customHeight="false" outlineLevel="0" collapsed="false">
      <c r="A346" s="6" t="n">
        <v>345</v>
      </c>
      <c r="B346" s="7"/>
      <c r="C346" s="7" t="s">
        <v>2240</v>
      </c>
      <c r="D346" s="8" t="n">
        <v>0.65</v>
      </c>
      <c r="E346" s="7" t="s">
        <v>2212</v>
      </c>
      <c r="F346" s="7" t="s">
        <v>86</v>
      </c>
      <c r="G346" s="6" t="n">
        <v>2</v>
      </c>
      <c r="H346" s="7" t="s">
        <v>2193</v>
      </c>
      <c r="I346" s="7"/>
      <c r="J346" s="7"/>
      <c r="K346" s="7" t="s">
        <v>158</v>
      </c>
      <c r="L346" s="9" t="n">
        <v>80800</v>
      </c>
      <c r="M346" s="9" t="n">
        <v>202</v>
      </c>
      <c r="N346" s="9"/>
      <c r="O346" s="7" t="s">
        <v>154</v>
      </c>
      <c r="P346" s="7" t="s">
        <v>109</v>
      </c>
      <c r="Q346" s="7" t="s">
        <v>155</v>
      </c>
      <c r="R346" s="7" t="s">
        <v>2241</v>
      </c>
      <c r="S346" s="7"/>
      <c r="T346" s="7"/>
      <c r="U346" s="10" t="n">
        <v>0.08</v>
      </c>
      <c r="V346" s="7"/>
      <c r="W346" s="7"/>
      <c r="X346" s="7" t="s">
        <v>2205</v>
      </c>
      <c r="Y346" s="12" t="b">
        <f aca="false">TRUE()</f>
        <v>1</v>
      </c>
      <c r="Z346" s="7" t="s">
        <v>2090</v>
      </c>
      <c r="AA346" s="7"/>
      <c r="AB346" s="8"/>
      <c r="AC346" s="6"/>
      <c r="AD346" s="6" t="n">
        <v>5</v>
      </c>
      <c r="AE346" s="6" t="n">
        <v>5</v>
      </c>
      <c r="AF346" s="7" t="s">
        <v>158</v>
      </c>
      <c r="AG346" s="7" t="s">
        <v>88</v>
      </c>
      <c r="AH346" s="7"/>
      <c r="AI346" s="7"/>
      <c r="AJ346" s="7"/>
      <c r="AK346" s="7"/>
      <c r="AL346" s="7" t="s">
        <v>2242</v>
      </c>
      <c r="AM346" s="7"/>
      <c r="AN346" s="7"/>
      <c r="AO346" s="7"/>
      <c r="AP346" s="7"/>
      <c r="AQ346" s="8"/>
      <c r="AR346" s="9" t="n">
        <f aca="false">IFERROR(VLOOKUP($X346,Lotes!$A:$E,5,FALSE())*$U346,"")</f>
        <v>80800</v>
      </c>
      <c r="AS346" s="9" t="n">
        <f aca="false">IF($L346="","",$L346*2.6)</f>
        <v>210080</v>
      </c>
      <c r="AT346" s="9"/>
      <c r="AU346" s="9" t="n">
        <v>202000</v>
      </c>
      <c r="AV346" s="9" t="n">
        <v>202000</v>
      </c>
      <c r="AW346" s="9" t="n">
        <v>0</v>
      </c>
      <c r="AX346" s="7" t="s">
        <v>109</v>
      </c>
      <c r="AY346" s="7" t="s">
        <v>575</v>
      </c>
      <c r="AZ346" s="7"/>
      <c r="BA346" s="7" t="s">
        <v>2243</v>
      </c>
      <c r="BB346" s="7" t="s">
        <v>2244</v>
      </c>
      <c r="BC346" s="11" t="s">
        <v>2245</v>
      </c>
      <c r="BD346" s="7" t="s">
        <v>2077</v>
      </c>
      <c r="BE346" s="11"/>
    </row>
    <row r="347" customFormat="false" ht="15" hidden="false" customHeight="false" outlineLevel="0" collapsed="false">
      <c r="A347" s="6" t="n">
        <v>346</v>
      </c>
      <c r="B347" s="7"/>
      <c r="C347" s="7" t="s">
        <v>2246</v>
      </c>
      <c r="D347" s="8" t="n">
        <v>0.33</v>
      </c>
      <c r="E347" s="7" t="s">
        <v>1985</v>
      </c>
      <c r="F347" s="7" t="s">
        <v>2003</v>
      </c>
      <c r="G347" s="6" t="n">
        <v>1</v>
      </c>
      <c r="H347" s="7" t="s">
        <v>681</v>
      </c>
      <c r="I347" s="7" t="s">
        <v>271</v>
      </c>
      <c r="J347" s="7" t="s">
        <v>2247</v>
      </c>
      <c r="K347" s="7" t="s">
        <v>583</v>
      </c>
      <c r="L347" s="9" t="n">
        <v>525000</v>
      </c>
      <c r="M347" s="9" t="n">
        <v>1575000</v>
      </c>
      <c r="N347" s="9" t="n">
        <v>2100000</v>
      </c>
      <c r="O347" s="7"/>
      <c r="P347" s="7"/>
      <c r="Q347" s="7" t="s">
        <v>90</v>
      </c>
      <c r="R347" s="7" t="s">
        <v>2248</v>
      </c>
      <c r="S347" s="7"/>
      <c r="T347" s="7"/>
      <c r="U347" s="10" t="n">
        <v>0.1</v>
      </c>
      <c r="V347" s="7"/>
      <c r="W347" s="7"/>
      <c r="X347" s="7" t="s">
        <v>2249</v>
      </c>
      <c r="Y347" s="12" t="b">
        <f aca="false">TRUE()</f>
        <v>1</v>
      </c>
      <c r="Z347" s="7" t="s">
        <v>2250</v>
      </c>
      <c r="AA347" s="7"/>
      <c r="AB347" s="8"/>
      <c r="AC347" s="6"/>
      <c r="AD347" s="6" t="n">
        <v>6</v>
      </c>
      <c r="AE347" s="6" t="n">
        <v>6</v>
      </c>
      <c r="AF347" s="7" t="s">
        <v>583</v>
      </c>
      <c r="AG347" s="7" t="s">
        <v>88</v>
      </c>
      <c r="AH347" s="7"/>
      <c r="AI347" s="7"/>
      <c r="AJ347" s="7"/>
      <c r="AK347" s="7"/>
      <c r="AL347" s="7" t="s">
        <v>2251</v>
      </c>
      <c r="AM347" s="7"/>
      <c r="AN347" s="7"/>
      <c r="AO347" s="7"/>
      <c r="AP347" s="7"/>
      <c r="AQ347" s="8"/>
      <c r="AR347" s="9" t="n">
        <f aca="false">IFERROR(VLOOKUP($X347,Lotes!$A:$E,5,FALSE())*$U347,"")</f>
        <v>525000</v>
      </c>
      <c r="AS347" s="9" t="n">
        <f aca="false">IF($L347="","",$L347*2.6)</f>
        <v>1365000</v>
      </c>
      <c r="AT347" s="9"/>
      <c r="AU347" s="9" t="n">
        <v>1575000</v>
      </c>
      <c r="AV347" s="9" t="n">
        <v>1505385</v>
      </c>
      <c r="AW347" s="9" t="n">
        <v>-63</v>
      </c>
      <c r="AX347" s="7" t="s">
        <v>657</v>
      </c>
      <c r="AY347" s="7" t="s">
        <v>94</v>
      </c>
      <c r="AZ347" s="7"/>
      <c r="BA347" s="7" t="s">
        <v>2252</v>
      </c>
      <c r="BB347" s="7" t="s">
        <v>2253</v>
      </c>
      <c r="BC347" s="11" t="s">
        <v>2254</v>
      </c>
      <c r="BD347" s="7" t="s">
        <v>2096</v>
      </c>
      <c r="BE347" s="11"/>
    </row>
    <row r="348" customFormat="false" ht="15" hidden="false" customHeight="false" outlineLevel="0" collapsed="false">
      <c r="A348" s="6" t="n">
        <v>347</v>
      </c>
      <c r="B348" s="7"/>
      <c r="C348" s="7" t="s">
        <v>2255</v>
      </c>
      <c r="D348" s="8" t="n">
        <v>0.8</v>
      </c>
      <c r="E348" s="7" t="s">
        <v>1985</v>
      </c>
      <c r="F348" s="7" t="s">
        <v>2003</v>
      </c>
      <c r="G348" s="6" t="n">
        <v>2</v>
      </c>
      <c r="H348" s="7" t="s">
        <v>87</v>
      </c>
      <c r="I348" s="7" t="s">
        <v>271</v>
      </c>
      <c r="J348" s="7" t="s">
        <v>2256</v>
      </c>
      <c r="K348" s="7" t="s">
        <v>583</v>
      </c>
      <c r="L348" s="9" t="n">
        <v>945000</v>
      </c>
      <c r="M348" s="9" t="n">
        <v>2835000</v>
      </c>
      <c r="N348" s="9" t="n">
        <v>3780000</v>
      </c>
      <c r="O348" s="7"/>
      <c r="P348" s="7"/>
      <c r="Q348" s="7" t="s">
        <v>90</v>
      </c>
      <c r="R348" s="7" t="s">
        <v>2257</v>
      </c>
      <c r="S348" s="7"/>
      <c r="T348" s="7"/>
      <c r="U348" s="10" t="n">
        <v>0.18</v>
      </c>
      <c r="V348" s="7"/>
      <c r="W348" s="7"/>
      <c r="X348" s="7" t="s">
        <v>2249</v>
      </c>
      <c r="Y348" s="12" t="b">
        <f aca="false">TRUE()</f>
        <v>1</v>
      </c>
      <c r="Z348" s="7" t="s">
        <v>2250</v>
      </c>
      <c r="AA348" s="7"/>
      <c r="AB348" s="8"/>
      <c r="AC348" s="6"/>
      <c r="AD348" s="6" t="n">
        <v>6</v>
      </c>
      <c r="AE348" s="6" t="n">
        <v>6</v>
      </c>
      <c r="AF348" s="7" t="s">
        <v>583</v>
      </c>
      <c r="AG348" s="7" t="s">
        <v>88</v>
      </c>
      <c r="AH348" s="7"/>
      <c r="AI348" s="7"/>
      <c r="AJ348" s="7"/>
      <c r="AK348" s="7"/>
      <c r="AL348" s="7" t="s">
        <v>2258</v>
      </c>
      <c r="AM348" s="7"/>
      <c r="AN348" s="7"/>
      <c r="AO348" s="7"/>
      <c r="AP348" s="7"/>
      <c r="AQ348" s="8"/>
      <c r="AR348" s="9" t="n">
        <f aca="false">IFERROR(VLOOKUP($X348,Lotes!$A:$E,5,FALSE())*$U348,"")</f>
        <v>945000</v>
      </c>
      <c r="AS348" s="9" t="n">
        <f aca="false">IF($L348="","",$L348*2.6)</f>
        <v>2457000</v>
      </c>
      <c r="AT348" s="9"/>
      <c r="AU348" s="9" t="n">
        <v>2835000</v>
      </c>
      <c r="AV348" s="9" t="n">
        <v>2700337.5</v>
      </c>
      <c r="AW348" s="9" t="n">
        <v>-94.5</v>
      </c>
      <c r="AX348" s="7" t="s">
        <v>657</v>
      </c>
      <c r="AY348" s="7" t="s">
        <v>94</v>
      </c>
      <c r="AZ348" s="7"/>
      <c r="BA348" s="7" t="s">
        <v>2259</v>
      </c>
      <c r="BB348" s="7" t="s">
        <v>2260</v>
      </c>
      <c r="BC348" s="11" t="s">
        <v>2261</v>
      </c>
      <c r="BD348" s="7" t="s">
        <v>2096</v>
      </c>
      <c r="BE348" s="11"/>
    </row>
    <row r="349" customFormat="false" ht="46.25" hidden="false" customHeight="false" outlineLevel="0" collapsed="false">
      <c r="A349" s="6" t="n">
        <v>348</v>
      </c>
      <c r="B349" s="7"/>
      <c r="C349" s="7" t="s">
        <v>2262</v>
      </c>
      <c r="D349" s="8" t="n">
        <v>0.58</v>
      </c>
      <c r="E349" s="7" t="s">
        <v>1985</v>
      </c>
      <c r="F349" s="7" t="s">
        <v>2003</v>
      </c>
      <c r="G349" s="6" t="n">
        <v>2</v>
      </c>
      <c r="H349" s="7" t="s">
        <v>124</v>
      </c>
      <c r="I349" s="7" t="s">
        <v>271</v>
      </c>
      <c r="J349" s="7" t="s">
        <v>2263</v>
      </c>
      <c r="K349" s="7" t="s">
        <v>583</v>
      </c>
      <c r="L349" s="9" t="n">
        <v>1050000</v>
      </c>
      <c r="M349" s="9" t="n">
        <v>3150000</v>
      </c>
      <c r="N349" s="9" t="n">
        <v>4200000</v>
      </c>
      <c r="O349" s="7" t="s">
        <v>154</v>
      </c>
      <c r="P349" s="7" t="s">
        <v>2220</v>
      </c>
      <c r="Q349" s="7" t="s">
        <v>155</v>
      </c>
      <c r="R349" s="7" t="s">
        <v>2264</v>
      </c>
      <c r="S349" s="7"/>
      <c r="T349" s="7"/>
      <c r="U349" s="10" t="n">
        <v>0.2</v>
      </c>
      <c r="V349" s="7"/>
      <c r="W349" s="7"/>
      <c r="X349" s="7" t="s">
        <v>2249</v>
      </c>
      <c r="Y349" s="12" t="b">
        <f aca="false">FALSE()</f>
        <v>0</v>
      </c>
      <c r="Z349" s="7" t="s">
        <v>2250</v>
      </c>
      <c r="AA349" s="7"/>
      <c r="AB349" s="8"/>
      <c r="AC349" s="6"/>
      <c r="AD349" s="6" t="n">
        <v>6</v>
      </c>
      <c r="AE349" s="6" t="n">
        <v>6</v>
      </c>
      <c r="AF349" s="7" t="s">
        <v>583</v>
      </c>
      <c r="AG349" s="7" t="s">
        <v>88</v>
      </c>
      <c r="AH349" s="7"/>
      <c r="AI349" s="7"/>
      <c r="AJ349" s="7"/>
      <c r="AK349" s="7"/>
      <c r="AL349" s="7" t="s">
        <v>2265</v>
      </c>
      <c r="AM349" s="7"/>
      <c r="AN349" s="7"/>
      <c r="AO349" s="7"/>
      <c r="AP349" s="7"/>
      <c r="AQ349" s="8"/>
      <c r="AR349" s="9" t="n">
        <f aca="false">IFERROR(VLOOKUP($X349,Lotes!$A:$E,5,FALSE())*$U349,"")</f>
        <v>1050000</v>
      </c>
      <c r="AS349" s="9" t="n">
        <f aca="false">IF($L349="","",$L349*2.6)</f>
        <v>2730000</v>
      </c>
      <c r="AT349" s="9" t="n">
        <v>3852941.176</v>
      </c>
      <c r="AU349" s="9" t="n">
        <v>3150000</v>
      </c>
      <c r="AV349" s="9" t="n">
        <v>3150000</v>
      </c>
      <c r="AW349" s="9" t="n">
        <v>3150000</v>
      </c>
      <c r="AX349" s="7" t="s">
        <v>159</v>
      </c>
      <c r="AY349" s="7" t="s">
        <v>160</v>
      </c>
      <c r="AZ349" s="7"/>
      <c r="BA349" s="7" t="s">
        <v>2266</v>
      </c>
      <c r="BB349" s="7" t="s">
        <v>2267</v>
      </c>
      <c r="BC349" s="11" t="s">
        <v>2268</v>
      </c>
      <c r="BD349" s="7" t="s">
        <v>2143</v>
      </c>
      <c r="BE349" s="11" t="s">
        <v>2269</v>
      </c>
    </row>
    <row r="350" customFormat="false" ht="15" hidden="false" customHeight="false" outlineLevel="0" collapsed="false">
      <c r="A350" s="6" t="n">
        <v>349</v>
      </c>
      <c r="B350" s="7"/>
      <c r="C350" s="7" t="s">
        <v>2270</v>
      </c>
      <c r="D350" s="8" t="n">
        <v>0.53</v>
      </c>
      <c r="E350" s="7" t="s">
        <v>1985</v>
      </c>
      <c r="F350" s="7" t="s">
        <v>2003</v>
      </c>
      <c r="G350" s="6" t="n">
        <v>6</v>
      </c>
      <c r="H350" s="7" t="s">
        <v>87</v>
      </c>
      <c r="I350" s="7" t="s">
        <v>271</v>
      </c>
      <c r="J350" s="7" t="s">
        <v>2271</v>
      </c>
      <c r="K350" s="7" t="s">
        <v>583</v>
      </c>
      <c r="L350" s="9" t="n">
        <v>2730000</v>
      </c>
      <c r="M350" s="9" t="n">
        <v>8190000</v>
      </c>
      <c r="N350" s="9" t="n">
        <v>10920000</v>
      </c>
      <c r="O350" s="7"/>
      <c r="P350" s="7"/>
      <c r="Q350" s="7" t="s">
        <v>90</v>
      </c>
      <c r="R350" s="7" t="s">
        <v>2272</v>
      </c>
      <c r="S350" s="7"/>
      <c r="T350" s="7"/>
      <c r="U350" s="10" t="n">
        <v>0.52</v>
      </c>
      <c r="V350" s="7"/>
      <c r="W350" s="7"/>
      <c r="X350" s="7" t="s">
        <v>2249</v>
      </c>
      <c r="Y350" s="12" t="b">
        <f aca="false">TRUE()</f>
        <v>1</v>
      </c>
      <c r="Z350" s="7" t="s">
        <v>2250</v>
      </c>
      <c r="AA350" s="7"/>
      <c r="AB350" s="8"/>
      <c r="AC350" s="6"/>
      <c r="AD350" s="6" t="n">
        <v>5</v>
      </c>
      <c r="AE350" s="6" t="n">
        <v>6</v>
      </c>
      <c r="AF350" s="7" t="s">
        <v>583</v>
      </c>
      <c r="AG350" s="7" t="s">
        <v>88</v>
      </c>
      <c r="AH350" s="7"/>
      <c r="AI350" s="7"/>
      <c r="AJ350" s="7"/>
      <c r="AK350" s="7"/>
      <c r="AL350" s="7" t="s">
        <v>2273</v>
      </c>
      <c r="AM350" s="7"/>
      <c r="AN350" s="7"/>
      <c r="AO350" s="7"/>
      <c r="AP350" s="7"/>
      <c r="AQ350" s="8"/>
      <c r="AR350" s="9" t="n">
        <f aca="false">IFERROR(VLOOKUP($X350,Lotes!$A:$E,5,FALSE())*$U350,"")</f>
        <v>2730000</v>
      </c>
      <c r="AS350" s="9" t="n">
        <f aca="false">IF($L350="","",$L350*2.6)</f>
        <v>7098000</v>
      </c>
      <c r="AT350" s="9"/>
      <c r="AU350" s="9" t="n">
        <v>8190000</v>
      </c>
      <c r="AV350" s="9" t="n">
        <v>2159703</v>
      </c>
      <c r="AW350" s="9" t="n">
        <v>-297</v>
      </c>
      <c r="AX350" s="7" t="s">
        <v>657</v>
      </c>
      <c r="AY350" s="7" t="s">
        <v>94</v>
      </c>
      <c r="AZ350" s="7"/>
      <c r="BA350" s="7" t="s">
        <v>2274</v>
      </c>
      <c r="BB350" s="7" t="s">
        <v>2275</v>
      </c>
      <c r="BC350" s="11" t="s">
        <v>2276</v>
      </c>
      <c r="BD350" s="7" t="s">
        <v>2096</v>
      </c>
      <c r="BE350" s="11"/>
    </row>
    <row r="351" customFormat="false" ht="46.25" hidden="false" customHeight="false" outlineLevel="0" collapsed="false">
      <c r="A351" s="6" t="n">
        <v>350</v>
      </c>
      <c r="B351" s="7"/>
      <c r="C351" s="7" t="s">
        <v>2277</v>
      </c>
      <c r="D351" s="8" t="n">
        <v>1.43</v>
      </c>
      <c r="E351" s="7" t="s">
        <v>403</v>
      </c>
      <c r="F351" s="7" t="s">
        <v>2003</v>
      </c>
      <c r="G351" s="6" t="n">
        <v>1</v>
      </c>
      <c r="H351" s="7" t="s">
        <v>178</v>
      </c>
      <c r="I351" s="7" t="s">
        <v>271</v>
      </c>
      <c r="J351" s="7" t="s">
        <v>2278</v>
      </c>
      <c r="K351" s="7" t="s">
        <v>583</v>
      </c>
      <c r="L351" s="9" t="n">
        <v>3400000</v>
      </c>
      <c r="M351" s="9" t="n">
        <v>10200000</v>
      </c>
      <c r="N351" s="9" t="n">
        <v>30600000</v>
      </c>
      <c r="O351" s="7" t="s">
        <v>154</v>
      </c>
      <c r="P351" s="7" t="s">
        <v>89</v>
      </c>
      <c r="Q351" s="7" t="s">
        <v>155</v>
      </c>
      <c r="R351" s="7" t="s">
        <v>2279</v>
      </c>
      <c r="S351" s="7"/>
      <c r="T351" s="7"/>
      <c r="U351" s="10" t="n">
        <v>1</v>
      </c>
      <c r="V351" s="7"/>
      <c r="W351" s="7"/>
      <c r="X351" s="7" t="s">
        <v>2280</v>
      </c>
      <c r="Y351" s="12" t="b">
        <f aca="false">TRUE()</f>
        <v>1</v>
      </c>
      <c r="Z351" s="7" t="s">
        <v>2250</v>
      </c>
      <c r="AA351" s="7"/>
      <c r="AB351" s="8"/>
      <c r="AC351" s="6"/>
      <c r="AD351" s="6" t="n">
        <v>5</v>
      </c>
      <c r="AE351" s="6" t="n">
        <v>5</v>
      </c>
      <c r="AF351" s="7" t="s">
        <v>583</v>
      </c>
      <c r="AG351" s="7" t="s">
        <v>88</v>
      </c>
      <c r="AH351" s="7"/>
      <c r="AI351" s="7"/>
      <c r="AJ351" s="7"/>
      <c r="AK351" s="7"/>
      <c r="AL351" s="7" t="s">
        <v>2281</v>
      </c>
      <c r="AM351" s="7"/>
      <c r="AN351" s="7"/>
      <c r="AO351" s="7"/>
      <c r="AP351" s="7"/>
      <c r="AQ351" s="8"/>
      <c r="AR351" s="9" t="n">
        <f aca="false">IFERROR(VLOOKUP($X351,Lotes!$A:$E,5,FALSE())*$U351,"")</f>
        <v>3400000</v>
      </c>
      <c r="AS351" s="9" t="n">
        <f aca="false">IF($L351="","",$L351*2.6)</f>
        <v>8840000</v>
      </c>
      <c r="AT351" s="9" t="n">
        <v>7210084.034</v>
      </c>
      <c r="AU351" s="9" t="n">
        <v>10200000</v>
      </c>
      <c r="AV351" s="9" t="n">
        <v>10200000</v>
      </c>
      <c r="AW351" s="9" t="n">
        <v>10200000</v>
      </c>
      <c r="AX351" s="7" t="s">
        <v>159</v>
      </c>
      <c r="AY351" s="7" t="s">
        <v>160</v>
      </c>
      <c r="AZ351" s="7"/>
      <c r="BA351" s="7" t="s">
        <v>2282</v>
      </c>
      <c r="BB351" s="7" t="s">
        <v>2283</v>
      </c>
      <c r="BC351" s="11" t="s">
        <v>2284</v>
      </c>
      <c r="BD351" s="7" t="s">
        <v>2143</v>
      </c>
      <c r="BE351" s="11" t="s">
        <v>794</v>
      </c>
    </row>
    <row r="352" customFormat="false" ht="23.85" hidden="false" customHeight="false" outlineLevel="0" collapsed="false">
      <c r="A352" s="6" t="n">
        <v>351</v>
      </c>
      <c r="B352" s="7"/>
      <c r="C352" s="7" t="s">
        <v>2285</v>
      </c>
      <c r="D352" s="8" t="n">
        <v>0.26</v>
      </c>
      <c r="E352" s="7" t="s">
        <v>1985</v>
      </c>
      <c r="F352" s="7" t="s">
        <v>2003</v>
      </c>
      <c r="G352" s="6" t="n">
        <v>4</v>
      </c>
      <c r="H352" s="7" t="s">
        <v>124</v>
      </c>
      <c r="I352" s="7" t="s">
        <v>271</v>
      </c>
      <c r="J352" s="7" t="s">
        <v>2286</v>
      </c>
      <c r="K352" s="7" t="s">
        <v>583</v>
      </c>
      <c r="L352" s="9" t="n">
        <v>358785</v>
      </c>
      <c r="M352" s="9" t="n">
        <v>1076355</v>
      </c>
      <c r="N352" s="9" t="n">
        <v>3229065</v>
      </c>
      <c r="O352" s="7"/>
      <c r="P352" s="7"/>
      <c r="Q352" s="7" t="s">
        <v>155</v>
      </c>
      <c r="R352" s="7" t="s">
        <v>2287</v>
      </c>
      <c r="S352" s="7"/>
      <c r="T352" s="7"/>
      <c r="U352" s="10" t="n">
        <v>0.1785</v>
      </c>
      <c r="V352" s="7"/>
      <c r="W352" s="7"/>
      <c r="X352" s="7" t="s">
        <v>2288</v>
      </c>
      <c r="Y352" s="12" t="b">
        <f aca="false">FALSE()</f>
        <v>0</v>
      </c>
      <c r="Z352" s="7" t="s">
        <v>2250</v>
      </c>
      <c r="AA352" s="7"/>
      <c r="AB352" s="8"/>
      <c r="AC352" s="6"/>
      <c r="AD352" s="6" t="n">
        <v>5</v>
      </c>
      <c r="AE352" s="6" t="n">
        <v>5</v>
      </c>
      <c r="AF352" s="7" t="s">
        <v>583</v>
      </c>
      <c r="AG352" s="7" t="s">
        <v>88</v>
      </c>
      <c r="AH352" s="7"/>
      <c r="AI352" s="7"/>
      <c r="AJ352" s="7"/>
      <c r="AK352" s="7"/>
      <c r="AL352" s="7" t="s">
        <v>2289</v>
      </c>
      <c r="AM352" s="7"/>
      <c r="AN352" s="7"/>
      <c r="AO352" s="7"/>
      <c r="AP352" s="7"/>
      <c r="AQ352" s="8"/>
      <c r="AR352" s="9" t="n">
        <f aca="false">IFERROR(VLOOKUP($X352,Lotes!$A:$E,5,FALSE())*$U352,"")</f>
        <v>358785</v>
      </c>
      <c r="AS352" s="9" t="n">
        <f aca="false">IF($L352="","",$L352*2.6)</f>
        <v>932841</v>
      </c>
      <c r="AT352" s="9"/>
      <c r="AU352" s="9" t="n">
        <v>4221000</v>
      </c>
      <c r="AV352" s="9" t="n">
        <v>4221000</v>
      </c>
      <c r="AW352" s="9" t="n">
        <v>0</v>
      </c>
      <c r="AX352" s="7" t="s">
        <v>159</v>
      </c>
      <c r="AY352" s="7" t="s">
        <v>575</v>
      </c>
      <c r="AZ352" s="7"/>
      <c r="BA352" s="7" t="s">
        <v>2290</v>
      </c>
      <c r="BB352" s="7" t="s">
        <v>2291</v>
      </c>
      <c r="BC352" s="11" t="s">
        <v>2292</v>
      </c>
      <c r="BD352" s="7" t="s">
        <v>2077</v>
      </c>
      <c r="BE352" s="11" t="s">
        <v>2293</v>
      </c>
    </row>
    <row r="353" customFormat="false" ht="15" hidden="false" customHeight="false" outlineLevel="0" collapsed="false">
      <c r="A353" s="6" t="n">
        <v>352</v>
      </c>
      <c r="B353" s="7"/>
      <c r="C353" s="7" t="s">
        <v>2294</v>
      </c>
      <c r="D353" s="8" t="n">
        <v>17</v>
      </c>
      <c r="E353" s="7"/>
      <c r="F353" s="7" t="s">
        <v>2087</v>
      </c>
      <c r="G353" s="6" t="n">
        <v>4</v>
      </c>
      <c r="H353" s="7"/>
      <c r="I353" s="7"/>
      <c r="J353" s="7"/>
      <c r="K353" s="7"/>
      <c r="L353" s="9" t="n">
        <v>603000</v>
      </c>
      <c r="M353" s="9" t="n">
        <v>1809000</v>
      </c>
      <c r="N353" s="9" t="n">
        <v>5427000</v>
      </c>
      <c r="O353" s="7"/>
      <c r="P353" s="7"/>
      <c r="Q353" s="7" t="s">
        <v>155</v>
      </c>
      <c r="R353" s="7" t="s">
        <v>2295</v>
      </c>
      <c r="S353" s="7"/>
      <c r="T353" s="7"/>
      <c r="U353" s="10" t="n">
        <v>0.3</v>
      </c>
      <c r="V353" s="7"/>
      <c r="W353" s="7"/>
      <c r="X353" s="7" t="s">
        <v>2288</v>
      </c>
      <c r="Y353" s="12" t="b">
        <f aca="false">FALSE()</f>
        <v>0</v>
      </c>
      <c r="Z353" s="7" t="s">
        <v>2250</v>
      </c>
      <c r="AA353" s="7" t="s">
        <v>2296</v>
      </c>
      <c r="AB353" s="8"/>
      <c r="AC353" s="6"/>
      <c r="AD353" s="6"/>
      <c r="AE353" s="6"/>
      <c r="AF353" s="7"/>
      <c r="AG353" s="7" t="s">
        <v>2178</v>
      </c>
      <c r="AH353" s="7"/>
      <c r="AI353" s="7"/>
      <c r="AJ353" s="7"/>
      <c r="AK353" s="7"/>
      <c r="AL353" s="7"/>
      <c r="AM353" s="7"/>
      <c r="AN353" s="7"/>
      <c r="AO353" s="7"/>
      <c r="AP353" s="7"/>
      <c r="AQ353" s="8"/>
      <c r="AR353" s="9" t="n">
        <f aca="false">IFERROR(VLOOKUP($X353,Lotes!$A:$E,5,FALSE())*$U353,"")</f>
        <v>603000</v>
      </c>
      <c r="AS353" s="9" t="n">
        <f aca="false">IF($L353="","",$L353*2.6)</f>
        <v>1567800</v>
      </c>
      <c r="AT353" s="9"/>
      <c r="AU353" s="9" t="n">
        <v>1809000</v>
      </c>
      <c r="AV353" s="9" t="n">
        <v>1809000</v>
      </c>
      <c r="AW353" s="9" t="n">
        <v>1809000</v>
      </c>
      <c r="AX353" s="7" t="s">
        <v>159</v>
      </c>
      <c r="AY353" s="7" t="s">
        <v>160</v>
      </c>
      <c r="AZ353" s="7"/>
      <c r="BA353" s="7" t="s">
        <v>2297</v>
      </c>
      <c r="BB353" s="7" t="s">
        <v>2298</v>
      </c>
      <c r="BC353" s="11" t="s">
        <v>2299</v>
      </c>
      <c r="BD353" s="7" t="s">
        <v>2077</v>
      </c>
      <c r="BE353" s="11" t="s">
        <v>2300</v>
      </c>
    </row>
    <row r="354" customFormat="false" ht="15" hidden="false" customHeight="false" outlineLevel="0" collapsed="false">
      <c r="A354" s="6" t="n">
        <v>353</v>
      </c>
      <c r="B354" s="7"/>
      <c r="C354" s="7" t="s">
        <v>2301</v>
      </c>
      <c r="D354" s="8" t="n">
        <v>2.98</v>
      </c>
      <c r="E354" s="7" t="s">
        <v>2066</v>
      </c>
      <c r="F354" s="7" t="s">
        <v>2087</v>
      </c>
      <c r="G354" s="6" t="n">
        <v>1</v>
      </c>
      <c r="H354" s="7" t="s">
        <v>2126</v>
      </c>
      <c r="I354" s="7"/>
      <c r="J354" s="7"/>
      <c r="K354" s="7" t="s">
        <v>2069</v>
      </c>
      <c r="L354" s="9" t="n">
        <v>1395000</v>
      </c>
      <c r="M354" s="9" t="n">
        <v>3488000</v>
      </c>
      <c r="N354" s="9" t="n">
        <v>4185000</v>
      </c>
      <c r="O354" s="7" t="s">
        <v>41</v>
      </c>
      <c r="P354" s="7" t="s">
        <v>109</v>
      </c>
      <c r="Q354" s="7" t="s">
        <v>155</v>
      </c>
      <c r="R354" s="7" t="s">
        <v>2302</v>
      </c>
      <c r="S354" s="7"/>
      <c r="T354" s="7"/>
      <c r="U354" s="10" t="n">
        <v>0.45</v>
      </c>
      <c r="V354" s="7"/>
      <c r="W354" s="7"/>
      <c r="X354" s="7" t="s">
        <v>2303</v>
      </c>
      <c r="Y354" s="12" t="b">
        <f aca="false">FALSE()</f>
        <v>0</v>
      </c>
      <c r="Z354" s="7" t="s">
        <v>2090</v>
      </c>
      <c r="AA354" s="7"/>
      <c r="AB354" s="8"/>
      <c r="AC354" s="6"/>
      <c r="AD354" s="6" t="n">
        <v>6</v>
      </c>
      <c r="AE354" s="6" t="n">
        <v>6</v>
      </c>
      <c r="AF354" s="7" t="s">
        <v>2069</v>
      </c>
      <c r="AG354" s="7" t="s">
        <v>88</v>
      </c>
      <c r="AH354" s="7"/>
      <c r="AI354" s="7"/>
      <c r="AJ354" s="7"/>
      <c r="AK354" s="7"/>
      <c r="AL354" s="7" t="s">
        <v>2304</v>
      </c>
      <c r="AM354" s="7"/>
      <c r="AN354" s="7"/>
      <c r="AO354" s="7"/>
      <c r="AP354" s="7"/>
      <c r="AQ354" s="8"/>
      <c r="AR354" s="9" t="n">
        <f aca="false">IFERROR(VLOOKUP($X354,Lotes!$A:$E,5,FALSE())*$U354,"")</f>
        <v>1395000</v>
      </c>
      <c r="AS354" s="9" t="n">
        <f aca="false">IF($L354="","",$L354*2.6)</f>
        <v>3627000</v>
      </c>
      <c r="AT354" s="9"/>
      <c r="AU354" s="9" t="n">
        <v>3488000</v>
      </c>
      <c r="AV354" s="9" t="n">
        <v>3488000</v>
      </c>
      <c r="AW354" s="9" t="n">
        <v>0</v>
      </c>
      <c r="AX354" s="7" t="s">
        <v>109</v>
      </c>
      <c r="AY354" s="7" t="s">
        <v>575</v>
      </c>
      <c r="AZ354" s="7"/>
      <c r="BA354" s="7" t="s">
        <v>2305</v>
      </c>
      <c r="BB354" s="7" t="s">
        <v>2306</v>
      </c>
      <c r="BC354" s="11" t="s">
        <v>2307</v>
      </c>
      <c r="BD354" s="7" t="s">
        <v>2143</v>
      </c>
      <c r="BE354" s="11"/>
    </row>
    <row r="355" customFormat="false" ht="15" hidden="false" customHeight="false" outlineLevel="0" collapsed="false">
      <c r="A355" s="6" t="n">
        <v>354</v>
      </c>
      <c r="B355" s="7"/>
      <c r="C355" s="7" t="s">
        <v>2308</v>
      </c>
      <c r="D355" s="8" t="n">
        <v>1.2</v>
      </c>
      <c r="E355" s="7" t="s">
        <v>2066</v>
      </c>
      <c r="F355" s="7" t="s">
        <v>680</v>
      </c>
      <c r="G355" s="6" t="n">
        <v>1</v>
      </c>
      <c r="H355" s="7" t="s">
        <v>2126</v>
      </c>
      <c r="I355" s="7" t="s">
        <v>271</v>
      </c>
      <c r="J355" s="7" t="s">
        <v>2309</v>
      </c>
      <c r="K355" s="7" t="s">
        <v>2069</v>
      </c>
      <c r="L355" s="9" t="n">
        <v>930000</v>
      </c>
      <c r="M355" s="9" t="n">
        <v>2790000</v>
      </c>
      <c r="N355" s="9" t="n">
        <v>3720000</v>
      </c>
      <c r="O355" s="7" t="s">
        <v>41</v>
      </c>
      <c r="P355" s="7" t="s">
        <v>109</v>
      </c>
      <c r="Q355" s="7" t="s">
        <v>155</v>
      </c>
      <c r="R355" s="7" t="s">
        <v>2310</v>
      </c>
      <c r="S355" s="7"/>
      <c r="T355" s="7"/>
      <c r="U355" s="10" t="n">
        <v>0.3</v>
      </c>
      <c r="V355" s="7"/>
      <c r="W355" s="7"/>
      <c r="X355" s="7" t="s">
        <v>2303</v>
      </c>
      <c r="Y355" s="12" t="b">
        <f aca="false">FALSE()</f>
        <v>0</v>
      </c>
      <c r="Z355" s="7" t="s">
        <v>2090</v>
      </c>
      <c r="AA355" s="7"/>
      <c r="AB355" s="8"/>
      <c r="AC355" s="6"/>
      <c r="AD355" s="6" t="n">
        <v>6</v>
      </c>
      <c r="AE355" s="6" t="n">
        <v>6</v>
      </c>
      <c r="AF355" s="7" t="s">
        <v>2069</v>
      </c>
      <c r="AG355" s="7" t="s">
        <v>88</v>
      </c>
      <c r="AH355" s="7"/>
      <c r="AI355" s="7"/>
      <c r="AJ355" s="7"/>
      <c r="AK355" s="7"/>
      <c r="AL355" s="7" t="s">
        <v>2311</v>
      </c>
      <c r="AM355" s="7"/>
      <c r="AN355" s="7"/>
      <c r="AO355" s="7"/>
      <c r="AP355" s="7"/>
      <c r="AQ355" s="8"/>
      <c r="AR355" s="9" t="n">
        <f aca="false">IFERROR(VLOOKUP($X355,Lotes!$A:$E,5,FALSE())*$U355,"")</f>
        <v>930000</v>
      </c>
      <c r="AS355" s="9" t="n">
        <f aca="false">IF($L355="","",$L355*2.6)</f>
        <v>2418000</v>
      </c>
      <c r="AT355" s="9"/>
      <c r="AU355" s="9" t="n">
        <v>2790000</v>
      </c>
      <c r="AV355" s="9" t="n">
        <v>2790000</v>
      </c>
      <c r="AW355" s="9" t="n">
        <v>0</v>
      </c>
      <c r="AX355" s="7" t="s">
        <v>109</v>
      </c>
      <c r="AY355" s="7" t="s">
        <v>575</v>
      </c>
      <c r="AZ355" s="7"/>
      <c r="BA355" s="7" t="s">
        <v>2312</v>
      </c>
      <c r="BB355" s="7" t="s">
        <v>2313</v>
      </c>
      <c r="BC355" s="11" t="s">
        <v>2314</v>
      </c>
      <c r="BD355" s="7" t="s">
        <v>2143</v>
      </c>
      <c r="BE355" s="11" t="s">
        <v>763</v>
      </c>
    </row>
    <row r="356" customFormat="false" ht="23.85" hidden="false" customHeight="false" outlineLevel="0" collapsed="false">
      <c r="A356" s="6" t="n">
        <v>355</v>
      </c>
      <c r="B356" s="7"/>
      <c r="C356" s="7" t="s">
        <v>2315</v>
      </c>
      <c r="D356" s="8" t="n">
        <v>1.1</v>
      </c>
      <c r="E356" s="7" t="s">
        <v>2066</v>
      </c>
      <c r="F356" s="7" t="s">
        <v>680</v>
      </c>
      <c r="G356" s="6" t="n">
        <v>1</v>
      </c>
      <c r="H356" s="7" t="s">
        <v>2126</v>
      </c>
      <c r="I356" s="7" t="s">
        <v>271</v>
      </c>
      <c r="J356" s="7" t="s">
        <v>2316</v>
      </c>
      <c r="K356" s="7" t="s">
        <v>2069</v>
      </c>
      <c r="L356" s="9" t="n">
        <v>775000</v>
      </c>
      <c r="M356" s="9" t="n">
        <v>2325000</v>
      </c>
      <c r="N356" s="9" t="n">
        <v>3100000</v>
      </c>
      <c r="O356" s="7" t="s">
        <v>41</v>
      </c>
      <c r="P356" s="7" t="s">
        <v>109</v>
      </c>
      <c r="Q356" s="7" t="s">
        <v>155</v>
      </c>
      <c r="R356" s="7" t="s">
        <v>2317</v>
      </c>
      <c r="S356" s="7"/>
      <c r="T356" s="7"/>
      <c r="U356" s="10" t="n">
        <v>0.25</v>
      </c>
      <c r="V356" s="7"/>
      <c r="W356" s="7"/>
      <c r="X356" s="7" t="s">
        <v>2303</v>
      </c>
      <c r="Y356" s="12" t="b">
        <f aca="false">FALSE()</f>
        <v>0</v>
      </c>
      <c r="Z356" s="7" t="s">
        <v>2090</v>
      </c>
      <c r="AA356" s="7"/>
      <c r="AB356" s="8"/>
      <c r="AC356" s="6"/>
      <c r="AD356" s="6" t="n">
        <v>6</v>
      </c>
      <c r="AE356" s="6" t="n">
        <v>6</v>
      </c>
      <c r="AF356" s="7" t="s">
        <v>2069</v>
      </c>
      <c r="AG356" s="7" t="s">
        <v>88</v>
      </c>
      <c r="AH356" s="7"/>
      <c r="AI356" s="7"/>
      <c r="AJ356" s="7"/>
      <c r="AK356" s="7"/>
      <c r="AL356" s="7" t="s">
        <v>2318</v>
      </c>
      <c r="AM356" s="7"/>
      <c r="AN356" s="7"/>
      <c r="AO356" s="7"/>
      <c r="AP356" s="7"/>
      <c r="AQ356" s="8"/>
      <c r="AR356" s="9" t="n">
        <f aca="false">IFERROR(VLOOKUP($X356,Lotes!$A:$E,5,FALSE())*$U356,"")</f>
        <v>775000</v>
      </c>
      <c r="AS356" s="9" t="n">
        <f aca="false">IF($L356="","",$L356*2.6)</f>
        <v>2015000</v>
      </c>
      <c r="AT356" s="9"/>
      <c r="AU356" s="9" t="n">
        <v>2325000</v>
      </c>
      <c r="AV356" s="9" t="n">
        <v>2325000</v>
      </c>
      <c r="AW356" s="9" t="n">
        <v>0</v>
      </c>
      <c r="AX356" s="7" t="s">
        <v>109</v>
      </c>
      <c r="AY356" s="7" t="s">
        <v>575</v>
      </c>
      <c r="AZ356" s="7"/>
      <c r="BA356" s="7" t="s">
        <v>2319</v>
      </c>
      <c r="BB356" s="7" t="s">
        <v>2320</v>
      </c>
      <c r="BC356" s="11" t="s">
        <v>2321</v>
      </c>
      <c r="BD356" s="7" t="s">
        <v>2143</v>
      </c>
      <c r="BE356" s="11" t="s">
        <v>2322</v>
      </c>
    </row>
    <row r="357" customFormat="false" ht="15" hidden="false" customHeight="false" outlineLevel="0" collapsed="false">
      <c r="A357" s="6" t="n">
        <v>356</v>
      </c>
      <c r="B357" s="7"/>
      <c r="C357" s="7" t="s">
        <v>2323</v>
      </c>
      <c r="D357" s="8" t="n">
        <v>79</v>
      </c>
      <c r="E357" s="7" t="s">
        <v>2066</v>
      </c>
      <c r="F357" s="7" t="s">
        <v>270</v>
      </c>
      <c r="G357" s="6" t="n">
        <v>1</v>
      </c>
      <c r="H357" s="7" t="s">
        <v>2126</v>
      </c>
      <c r="I357" s="7"/>
      <c r="J357" s="7"/>
      <c r="K357" s="7" t="s">
        <v>2324</v>
      </c>
      <c r="L357" s="9" t="n">
        <v>500000</v>
      </c>
      <c r="M357" s="9" t="n">
        <v>1250000</v>
      </c>
      <c r="N357" s="9" t="n">
        <v>2000000</v>
      </c>
      <c r="O357" s="7" t="s">
        <v>41</v>
      </c>
      <c r="P357" s="7" t="s">
        <v>997</v>
      </c>
      <c r="Q357" s="7" t="s">
        <v>90</v>
      </c>
      <c r="R357" s="7" t="s">
        <v>2325</v>
      </c>
      <c r="S357" s="7"/>
      <c r="T357" s="7"/>
      <c r="U357" s="10" t="n">
        <v>1</v>
      </c>
      <c r="V357" s="7"/>
      <c r="W357" s="7"/>
      <c r="X357" s="7" t="s">
        <v>2326</v>
      </c>
      <c r="Y357" s="12" t="b">
        <f aca="false">TRUE()</f>
        <v>1</v>
      </c>
      <c r="Z357" s="7" t="s">
        <v>2090</v>
      </c>
      <c r="AA357" s="7"/>
      <c r="AB357" s="8"/>
      <c r="AC357" s="6"/>
      <c r="AD357" s="6" t="n">
        <v>6</v>
      </c>
      <c r="AE357" s="6" t="n">
        <v>5</v>
      </c>
      <c r="AF357" s="7" t="s">
        <v>2324</v>
      </c>
      <c r="AG357" s="7" t="s">
        <v>88</v>
      </c>
      <c r="AH357" s="7"/>
      <c r="AI357" s="7"/>
      <c r="AJ357" s="7"/>
      <c r="AK357" s="7"/>
      <c r="AL357" s="7" t="s">
        <v>2327</v>
      </c>
      <c r="AM357" s="7"/>
      <c r="AN357" s="7"/>
      <c r="AO357" s="7"/>
      <c r="AP357" s="7"/>
      <c r="AQ357" s="8"/>
      <c r="AR357" s="9" t="n">
        <f aca="false">IFERROR(VLOOKUP($X357,Lotes!$A:$E,5,FALSE())*$U357,"")</f>
        <v>500000</v>
      </c>
      <c r="AS357" s="9" t="n">
        <f aca="false">IF($L357="","",$L357*2.6)</f>
        <v>1300000</v>
      </c>
      <c r="AT357" s="9"/>
      <c r="AU357" s="9" t="n">
        <v>1250000</v>
      </c>
      <c r="AV357" s="9" t="n">
        <v>1250000</v>
      </c>
      <c r="AW357" s="9" t="n">
        <v>50000</v>
      </c>
      <c r="AX357" s="7" t="s">
        <v>997</v>
      </c>
      <c r="AY357" s="7" t="s">
        <v>94</v>
      </c>
      <c r="AZ357" s="7"/>
      <c r="BA357" s="7" t="s">
        <v>2328</v>
      </c>
      <c r="BB357" s="7" t="s">
        <v>2329</v>
      </c>
      <c r="BC357" s="11" t="s">
        <v>2330</v>
      </c>
      <c r="BD357" s="7" t="s">
        <v>2077</v>
      </c>
      <c r="BE357" s="11"/>
    </row>
    <row r="358" customFormat="false" ht="46.25" hidden="false" customHeight="false" outlineLevel="0" collapsed="false">
      <c r="A358" s="6" t="n">
        <v>357</v>
      </c>
      <c r="B358" s="7"/>
      <c r="C358" s="7" t="s">
        <v>2331</v>
      </c>
      <c r="D358" s="8" t="n">
        <v>6.35</v>
      </c>
      <c r="E358" s="7" t="s">
        <v>85</v>
      </c>
      <c r="F358" s="7" t="s">
        <v>270</v>
      </c>
      <c r="G358" s="6" t="n">
        <v>44</v>
      </c>
      <c r="H358" s="7" t="s">
        <v>101</v>
      </c>
      <c r="I358" s="7" t="s">
        <v>303</v>
      </c>
      <c r="J358" s="7" t="s">
        <v>2332</v>
      </c>
      <c r="K358" s="7" t="s">
        <v>583</v>
      </c>
      <c r="L358" s="9" t="n">
        <v>588000</v>
      </c>
      <c r="M358" s="9" t="n">
        <v>1764000</v>
      </c>
      <c r="N358" s="9" t="n">
        <v>2352000</v>
      </c>
      <c r="O358" s="7" t="s">
        <v>154</v>
      </c>
      <c r="P358" s="7" t="s">
        <v>89</v>
      </c>
      <c r="Q358" s="7" t="s">
        <v>155</v>
      </c>
      <c r="R358" s="7" t="s">
        <v>2333</v>
      </c>
      <c r="S358" s="7"/>
      <c r="T358" s="7"/>
      <c r="U358" s="10" t="n">
        <v>0.12</v>
      </c>
      <c r="V358" s="7"/>
      <c r="W358" s="7"/>
      <c r="X358" s="7" t="s">
        <v>2334</v>
      </c>
      <c r="Y358" s="12" t="b">
        <f aca="false">TRUE()</f>
        <v>1</v>
      </c>
      <c r="Z358" s="7" t="s">
        <v>2090</v>
      </c>
      <c r="AA358" s="7"/>
      <c r="AB358" s="8"/>
      <c r="AC358" s="6"/>
      <c r="AD358" s="6" t="n">
        <v>2</v>
      </c>
      <c r="AE358" s="6" t="n">
        <v>5</v>
      </c>
      <c r="AF358" s="7" t="s">
        <v>583</v>
      </c>
      <c r="AG358" s="7" t="s">
        <v>88</v>
      </c>
      <c r="AH358" s="7"/>
      <c r="AI358" s="7"/>
      <c r="AJ358" s="7"/>
      <c r="AK358" s="7"/>
      <c r="AL358" s="7" t="s">
        <v>2335</v>
      </c>
      <c r="AM358" s="7"/>
      <c r="AN358" s="7"/>
      <c r="AO358" s="7"/>
      <c r="AP358" s="7"/>
      <c r="AQ358" s="8"/>
      <c r="AR358" s="9" t="n">
        <f aca="false">IFERROR(VLOOKUP($X358,Lotes!$A:$E,5,FALSE())*$U358,"")</f>
        <v>588000</v>
      </c>
      <c r="AS358" s="9" t="n">
        <f aca="false">IF($L358="","",$L358*2.6)</f>
        <v>1528800</v>
      </c>
      <c r="AT358" s="9"/>
      <c r="AU358" s="9" t="n">
        <v>1764000</v>
      </c>
      <c r="AV358" s="9" t="n">
        <v>1764000</v>
      </c>
      <c r="AW358" s="9" t="n">
        <v>1764000</v>
      </c>
      <c r="AX358" s="7" t="s">
        <v>159</v>
      </c>
      <c r="AY358" s="7" t="s">
        <v>1063</v>
      </c>
      <c r="AZ358" s="7"/>
      <c r="BA358" s="7" t="s">
        <v>2336</v>
      </c>
      <c r="BB358" s="7" t="s">
        <v>2337</v>
      </c>
      <c r="BC358" s="11" t="s">
        <v>2338</v>
      </c>
      <c r="BD358" s="7" t="s">
        <v>2077</v>
      </c>
      <c r="BE358" s="11" t="s">
        <v>794</v>
      </c>
    </row>
    <row r="359" customFormat="false" ht="15" hidden="false" customHeight="false" outlineLevel="0" collapsed="false">
      <c r="A359" s="6" t="n">
        <v>358</v>
      </c>
      <c r="B359" s="7"/>
      <c r="C359" s="7" t="s">
        <v>2339</v>
      </c>
      <c r="D359" s="8" t="n">
        <v>1.9</v>
      </c>
      <c r="E359" s="7" t="s">
        <v>85</v>
      </c>
      <c r="F359" s="7" t="s">
        <v>270</v>
      </c>
      <c r="G359" s="6" t="n">
        <v>5</v>
      </c>
      <c r="H359" s="7" t="s">
        <v>200</v>
      </c>
      <c r="I359" s="7" t="s">
        <v>303</v>
      </c>
      <c r="J359" s="7" t="s">
        <v>2340</v>
      </c>
      <c r="K359" s="7" t="s">
        <v>583</v>
      </c>
      <c r="L359" s="9" t="n">
        <v>343000</v>
      </c>
      <c r="M359" s="9" t="n">
        <v>1029000</v>
      </c>
      <c r="N359" s="9" t="n">
        <v>1372000</v>
      </c>
      <c r="O359" s="7" t="s">
        <v>41</v>
      </c>
      <c r="P359" s="7" t="s">
        <v>372</v>
      </c>
      <c r="Q359" s="7" t="s">
        <v>155</v>
      </c>
      <c r="R359" s="7" t="s">
        <v>2341</v>
      </c>
      <c r="S359" s="7"/>
      <c r="T359" s="7"/>
      <c r="U359" s="10" t="n">
        <v>0.07</v>
      </c>
      <c r="V359" s="7"/>
      <c r="W359" s="7"/>
      <c r="X359" s="7" t="s">
        <v>2334</v>
      </c>
      <c r="Y359" s="12" t="b">
        <f aca="false">TRUE()</f>
        <v>1</v>
      </c>
      <c r="Z359" s="7" t="s">
        <v>2090</v>
      </c>
      <c r="AA359" s="7"/>
      <c r="AB359" s="8"/>
      <c r="AC359" s="6"/>
      <c r="AD359" s="6" t="n">
        <v>2</v>
      </c>
      <c r="AE359" s="6" t="n">
        <v>5</v>
      </c>
      <c r="AF359" s="7" t="s">
        <v>583</v>
      </c>
      <c r="AG359" s="7" t="s">
        <v>88</v>
      </c>
      <c r="AH359" s="7"/>
      <c r="AI359" s="7"/>
      <c r="AJ359" s="7"/>
      <c r="AK359" s="7"/>
      <c r="AL359" s="7" t="s">
        <v>2342</v>
      </c>
      <c r="AM359" s="7"/>
      <c r="AN359" s="7"/>
      <c r="AO359" s="7"/>
      <c r="AP359" s="7"/>
      <c r="AQ359" s="8"/>
      <c r="AR359" s="9" t="n">
        <f aca="false">IFERROR(VLOOKUP($X359,Lotes!$A:$E,5,FALSE())*$U359,"")</f>
        <v>343000</v>
      </c>
      <c r="AS359" s="9" t="n">
        <f aca="false">IF($L359="","",$L359*2.6)</f>
        <v>891800</v>
      </c>
      <c r="AT359" s="9"/>
      <c r="AU359" s="9" t="n">
        <v>1029000</v>
      </c>
      <c r="AV359" s="9" t="n">
        <v>1029000</v>
      </c>
      <c r="AW359" s="9" t="n">
        <v>0</v>
      </c>
      <c r="AX359" s="7" t="s">
        <v>372</v>
      </c>
      <c r="AY359" s="7" t="s">
        <v>575</v>
      </c>
      <c r="AZ359" s="7"/>
      <c r="BA359" s="7" t="s">
        <v>2343</v>
      </c>
      <c r="BB359" s="7" t="s">
        <v>2344</v>
      </c>
      <c r="BC359" s="11" t="s">
        <v>2345</v>
      </c>
      <c r="BD359" s="7" t="s">
        <v>2077</v>
      </c>
      <c r="BE359" s="11"/>
    </row>
    <row r="360" customFormat="false" ht="15" hidden="false" customHeight="false" outlineLevel="0" collapsed="false">
      <c r="A360" s="6" t="n">
        <v>359</v>
      </c>
      <c r="B360" s="7"/>
      <c r="C360" s="7" t="s">
        <v>2346</v>
      </c>
      <c r="D360" s="8" t="n">
        <v>5.84</v>
      </c>
      <c r="E360" s="7" t="s">
        <v>85</v>
      </c>
      <c r="F360" s="7" t="s">
        <v>270</v>
      </c>
      <c r="G360" s="6" t="n">
        <v>31</v>
      </c>
      <c r="H360" s="7" t="s">
        <v>200</v>
      </c>
      <c r="I360" s="7"/>
      <c r="J360" s="7"/>
      <c r="K360" s="7" t="s">
        <v>583</v>
      </c>
      <c r="L360" s="9" t="n">
        <v>588000</v>
      </c>
      <c r="M360" s="9" t="n">
        <v>1764000</v>
      </c>
      <c r="N360" s="9" t="n">
        <v>2352000</v>
      </c>
      <c r="O360" s="7"/>
      <c r="P360" s="7" t="s">
        <v>234</v>
      </c>
      <c r="Q360" s="7" t="s">
        <v>90</v>
      </c>
      <c r="R360" s="7" t="s">
        <v>2347</v>
      </c>
      <c r="S360" s="7"/>
      <c r="T360" s="7"/>
      <c r="U360" s="10" t="n">
        <v>0.12</v>
      </c>
      <c r="V360" s="7"/>
      <c r="W360" s="7"/>
      <c r="X360" s="7" t="s">
        <v>2334</v>
      </c>
      <c r="Y360" s="12" t="b">
        <f aca="false">TRUE()</f>
        <v>1</v>
      </c>
      <c r="Z360" s="7" t="s">
        <v>2090</v>
      </c>
      <c r="AA360" s="7"/>
      <c r="AB360" s="8"/>
      <c r="AC360" s="6"/>
      <c r="AD360" s="6" t="n">
        <v>2</v>
      </c>
      <c r="AE360" s="6" t="n">
        <v>5</v>
      </c>
      <c r="AF360" s="7" t="s">
        <v>583</v>
      </c>
      <c r="AG360" s="7" t="s">
        <v>88</v>
      </c>
      <c r="AH360" s="7"/>
      <c r="AI360" s="7"/>
      <c r="AJ360" s="7"/>
      <c r="AK360" s="7"/>
      <c r="AL360" s="7" t="s">
        <v>2348</v>
      </c>
      <c r="AM360" s="7"/>
      <c r="AN360" s="7"/>
      <c r="AO360" s="7"/>
      <c r="AP360" s="7"/>
      <c r="AQ360" s="8"/>
      <c r="AR360" s="9" t="n">
        <f aca="false">IFERROR(VLOOKUP($X360,Lotes!$A:$E,5,FALSE())*$U360,"")</f>
        <v>588000</v>
      </c>
      <c r="AS360" s="9" t="n">
        <f aca="false">IF($L360="","",$L360*2.6)</f>
        <v>1528800</v>
      </c>
      <c r="AT360" s="9"/>
      <c r="AU360" s="9" t="n">
        <v>1764000</v>
      </c>
      <c r="AV360" s="9" t="n">
        <v>1411200</v>
      </c>
      <c r="AW360" s="9" t="n">
        <v>200</v>
      </c>
      <c r="AX360" s="7" t="s">
        <v>234</v>
      </c>
      <c r="AY360" s="7" t="s">
        <v>94</v>
      </c>
      <c r="AZ360" s="7"/>
      <c r="BA360" s="7" t="s">
        <v>2349</v>
      </c>
      <c r="BB360" s="7" t="s">
        <v>2350</v>
      </c>
      <c r="BC360" s="11" t="s">
        <v>2351</v>
      </c>
      <c r="BD360" s="7" t="s">
        <v>2096</v>
      </c>
      <c r="BE360" s="11"/>
    </row>
    <row r="361" customFormat="false" ht="15" hidden="false" customHeight="false" outlineLevel="0" collapsed="false">
      <c r="A361" s="6" t="n">
        <v>360</v>
      </c>
      <c r="B361" s="7"/>
      <c r="C361" s="7" t="s">
        <v>2352</v>
      </c>
      <c r="D361" s="8" t="n">
        <v>8.2</v>
      </c>
      <c r="E361" s="7" t="s">
        <v>85</v>
      </c>
      <c r="F361" s="7" t="s">
        <v>270</v>
      </c>
      <c r="G361" s="6" t="n">
        <v>48</v>
      </c>
      <c r="H361" s="7" t="s">
        <v>681</v>
      </c>
      <c r="I361" s="7"/>
      <c r="J361" s="7"/>
      <c r="K361" s="7" t="s">
        <v>583</v>
      </c>
      <c r="L361" s="9" t="n">
        <v>735000</v>
      </c>
      <c r="M361" s="9" t="n">
        <v>2205000</v>
      </c>
      <c r="N361" s="9" t="n">
        <v>2940000</v>
      </c>
      <c r="O361" s="7"/>
      <c r="P361" s="7"/>
      <c r="Q361" s="7" t="s">
        <v>155</v>
      </c>
      <c r="R361" s="7" t="s">
        <v>2353</v>
      </c>
      <c r="S361" s="7"/>
      <c r="T361" s="7"/>
      <c r="U361" s="10" t="n">
        <v>0.15</v>
      </c>
      <c r="V361" s="7"/>
      <c r="W361" s="7"/>
      <c r="X361" s="7" t="s">
        <v>2334</v>
      </c>
      <c r="Y361" s="12" t="b">
        <f aca="false">TRUE()</f>
        <v>1</v>
      </c>
      <c r="Z361" s="7" t="s">
        <v>2090</v>
      </c>
      <c r="AA361" s="7"/>
      <c r="AB361" s="8"/>
      <c r="AC361" s="6"/>
      <c r="AD361" s="6" t="n">
        <v>2</v>
      </c>
      <c r="AE361" s="6" t="n">
        <v>5</v>
      </c>
      <c r="AF361" s="7" t="s">
        <v>583</v>
      </c>
      <c r="AG361" s="7" t="s">
        <v>88</v>
      </c>
      <c r="AH361" s="7"/>
      <c r="AI361" s="7"/>
      <c r="AJ361" s="7"/>
      <c r="AK361" s="7"/>
      <c r="AL361" s="7" t="s">
        <v>2354</v>
      </c>
      <c r="AM361" s="7"/>
      <c r="AN361" s="7"/>
      <c r="AO361" s="7"/>
      <c r="AP361" s="7"/>
      <c r="AQ361" s="8"/>
      <c r="AR361" s="9" t="n">
        <f aca="false">IFERROR(VLOOKUP($X361,Lotes!$A:$E,5,FALSE())*$U361,"")</f>
        <v>735000</v>
      </c>
      <c r="AS361" s="9" t="n">
        <f aca="false">IF($L361="","",$L361*2.6)</f>
        <v>1911000</v>
      </c>
      <c r="AT361" s="9"/>
      <c r="AU361" s="9" t="n">
        <v>2205000</v>
      </c>
      <c r="AV361" s="9" t="n">
        <v>2205000</v>
      </c>
      <c r="AW361" s="9" t="n">
        <v>2205000</v>
      </c>
      <c r="AX361" s="7" t="s">
        <v>159</v>
      </c>
      <c r="AY361" s="7" t="s">
        <v>160</v>
      </c>
      <c r="AZ361" s="7"/>
      <c r="BA361" s="7" t="s">
        <v>2355</v>
      </c>
      <c r="BB361" s="7" t="s">
        <v>2356</v>
      </c>
      <c r="BC361" s="11" t="s">
        <v>2357</v>
      </c>
      <c r="BD361" s="7" t="s">
        <v>2077</v>
      </c>
      <c r="BE361" s="11"/>
    </row>
    <row r="362" customFormat="false" ht="15" hidden="false" customHeight="false" outlineLevel="0" collapsed="false">
      <c r="A362" s="6" t="n">
        <v>361</v>
      </c>
      <c r="B362" s="7"/>
      <c r="C362" s="7" t="s">
        <v>2358</v>
      </c>
      <c r="D362" s="8" t="n">
        <v>5.25</v>
      </c>
      <c r="E362" s="7" t="s">
        <v>85</v>
      </c>
      <c r="F362" s="7" t="s">
        <v>270</v>
      </c>
      <c r="G362" s="6" t="n">
        <v>17</v>
      </c>
      <c r="H362" s="7" t="s">
        <v>101</v>
      </c>
      <c r="I362" s="7"/>
      <c r="J362" s="7"/>
      <c r="K362" s="7" t="s">
        <v>583</v>
      </c>
      <c r="L362" s="9" t="n">
        <v>735000</v>
      </c>
      <c r="M362" s="9" t="n">
        <v>2205000</v>
      </c>
      <c r="N362" s="9" t="n">
        <v>2940000</v>
      </c>
      <c r="O362" s="7" t="s">
        <v>41</v>
      </c>
      <c r="P362" s="7" t="s">
        <v>372</v>
      </c>
      <c r="Q362" s="7" t="s">
        <v>90</v>
      </c>
      <c r="R362" s="7" t="s">
        <v>2359</v>
      </c>
      <c r="S362" s="7"/>
      <c r="T362" s="7"/>
      <c r="U362" s="10" t="n">
        <v>0.15</v>
      </c>
      <c r="V362" s="7"/>
      <c r="W362" s="7"/>
      <c r="X362" s="7" t="s">
        <v>2334</v>
      </c>
      <c r="Y362" s="12" t="b">
        <f aca="false">TRUE()</f>
        <v>1</v>
      </c>
      <c r="Z362" s="7" t="s">
        <v>2090</v>
      </c>
      <c r="AA362" s="7"/>
      <c r="AB362" s="8"/>
      <c r="AC362" s="6"/>
      <c r="AD362" s="6" t="n">
        <v>2</v>
      </c>
      <c r="AE362" s="6" t="n">
        <v>5</v>
      </c>
      <c r="AF362" s="7" t="s">
        <v>583</v>
      </c>
      <c r="AG362" s="7" t="s">
        <v>88</v>
      </c>
      <c r="AH362" s="7"/>
      <c r="AI362" s="7"/>
      <c r="AJ362" s="7"/>
      <c r="AK362" s="7"/>
      <c r="AL362" s="7" t="s">
        <v>2360</v>
      </c>
      <c r="AM362" s="7"/>
      <c r="AN362" s="7"/>
      <c r="AO362" s="7"/>
      <c r="AP362" s="7"/>
      <c r="AQ362" s="8"/>
      <c r="AR362" s="9" t="n">
        <f aca="false">IFERROR(VLOOKUP($X362,Lotes!$A:$E,5,FALSE())*$U362,"")</f>
        <v>735000</v>
      </c>
      <c r="AS362" s="9" t="n">
        <f aca="false">IF($L362="","",$L362*2.6)</f>
        <v>1911000</v>
      </c>
      <c r="AT362" s="9"/>
      <c r="AU362" s="9" t="n">
        <v>2205000</v>
      </c>
      <c r="AV362" s="9" t="n">
        <v>2205000</v>
      </c>
      <c r="AW362" s="9" t="n">
        <v>0</v>
      </c>
      <c r="AX362" s="7" t="s">
        <v>372</v>
      </c>
      <c r="AY362" s="7" t="s">
        <v>575</v>
      </c>
      <c r="AZ362" s="7"/>
      <c r="BA362" s="7" t="s">
        <v>2361</v>
      </c>
      <c r="BB362" s="7" t="s">
        <v>2362</v>
      </c>
      <c r="BC362" s="11" t="s">
        <v>2363</v>
      </c>
      <c r="BD362" s="7" t="s">
        <v>2077</v>
      </c>
      <c r="BE362" s="11"/>
    </row>
    <row r="363" customFormat="false" ht="15" hidden="false" customHeight="false" outlineLevel="0" collapsed="false">
      <c r="A363" s="6" t="n">
        <v>362</v>
      </c>
      <c r="B363" s="7"/>
      <c r="C363" s="7" t="s">
        <v>2364</v>
      </c>
      <c r="D363" s="8" t="n">
        <v>1.82</v>
      </c>
      <c r="E363" s="7" t="s">
        <v>85</v>
      </c>
      <c r="F363" s="7" t="s">
        <v>270</v>
      </c>
      <c r="G363" s="6" t="n">
        <v>4</v>
      </c>
      <c r="H363" s="7" t="s">
        <v>101</v>
      </c>
      <c r="I363" s="7"/>
      <c r="J363" s="7"/>
      <c r="K363" s="7" t="s">
        <v>583</v>
      </c>
      <c r="L363" s="9" t="n">
        <v>735000</v>
      </c>
      <c r="M363" s="9" t="n">
        <v>2205000</v>
      </c>
      <c r="N363" s="9" t="n">
        <v>2940000</v>
      </c>
      <c r="O363" s="7"/>
      <c r="P363" s="7"/>
      <c r="Q363" s="7" t="s">
        <v>155</v>
      </c>
      <c r="R363" s="7" t="s">
        <v>2365</v>
      </c>
      <c r="S363" s="7"/>
      <c r="T363" s="7"/>
      <c r="U363" s="10" t="n">
        <v>0.15</v>
      </c>
      <c r="V363" s="7"/>
      <c r="W363" s="7"/>
      <c r="X363" s="7" t="s">
        <v>2334</v>
      </c>
      <c r="Y363" s="12" t="b">
        <f aca="false">TRUE()</f>
        <v>1</v>
      </c>
      <c r="Z363" s="7" t="s">
        <v>2090</v>
      </c>
      <c r="AA363" s="7"/>
      <c r="AB363" s="8"/>
      <c r="AC363" s="6"/>
      <c r="AD363" s="6" t="n">
        <v>2</v>
      </c>
      <c r="AE363" s="6" t="n">
        <v>5</v>
      </c>
      <c r="AF363" s="7" t="s">
        <v>583</v>
      </c>
      <c r="AG363" s="7" t="s">
        <v>88</v>
      </c>
      <c r="AH363" s="7"/>
      <c r="AI363" s="7"/>
      <c r="AJ363" s="7"/>
      <c r="AK363" s="7"/>
      <c r="AL363" s="7" t="s">
        <v>2366</v>
      </c>
      <c r="AM363" s="7"/>
      <c r="AN363" s="7"/>
      <c r="AO363" s="7"/>
      <c r="AP363" s="7"/>
      <c r="AQ363" s="8"/>
      <c r="AR363" s="9" t="n">
        <f aca="false">IFERROR(VLOOKUP($X363,Lotes!$A:$E,5,FALSE())*$U363,"")</f>
        <v>735000</v>
      </c>
      <c r="AS363" s="9" t="n">
        <f aca="false">IF($L363="","",$L363*2.6)</f>
        <v>1911000</v>
      </c>
      <c r="AT363" s="9"/>
      <c r="AU363" s="9" t="n">
        <v>2205000</v>
      </c>
      <c r="AV363" s="9" t="n">
        <v>2205000</v>
      </c>
      <c r="AW363" s="9" t="n">
        <v>2205000</v>
      </c>
      <c r="AX363" s="7" t="s">
        <v>159</v>
      </c>
      <c r="AY363" s="7" t="s">
        <v>160</v>
      </c>
      <c r="AZ363" s="7"/>
      <c r="BA363" s="7" t="s">
        <v>2367</v>
      </c>
      <c r="BB363" s="7" t="s">
        <v>2368</v>
      </c>
      <c r="BC363" s="11" t="s">
        <v>2369</v>
      </c>
      <c r="BD363" s="7" t="s">
        <v>2077</v>
      </c>
      <c r="BE363" s="11"/>
    </row>
    <row r="364" customFormat="false" ht="15" hidden="false" customHeight="false" outlineLevel="0" collapsed="false">
      <c r="A364" s="6" t="n">
        <v>363</v>
      </c>
      <c r="B364" s="7"/>
      <c r="C364" s="7" t="s">
        <v>2370</v>
      </c>
      <c r="D364" s="8" t="n">
        <v>1.46</v>
      </c>
      <c r="E364" s="7" t="s">
        <v>85</v>
      </c>
      <c r="F364" s="7" t="s">
        <v>270</v>
      </c>
      <c r="G364" s="6" t="n">
        <v>4</v>
      </c>
      <c r="H364" s="7" t="s">
        <v>124</v>
      </c>
      <c r="I364" s="7"/>
      <c r="J364" s="7"/>
      <c r="K364" s="7" t="s">
        <v>583</v>
      </c>
      <c r="L364" s="9" t="n">
        <v>735000</v>
      </c>
      <c r="M364" s="9" t="n">
        <v>2205000</v>
      </c>
      <c r="N364" s="9" t="n">
        <v>2940000</v>
      </c>
      <c r="O364" s="7"/>
      <c r="P364" s="7"/>
      <c r="Q364" s="7" t="s">
        <v>155</v>
      </c>
      <c r="R364" s="7" t="s">
        <v>2371</v>
      </c>
      <c r="S364" s="7"/>
      <c r="T364" s="7"/>
      <c r="U364" s="10"/>
      <c r="V364" s="7"/>
      <c r="W364" s="7"/>
      <c r="X364" s="7"/>
      <c r="Y364" s="12" t="b">
        <f aca="false">TRUE()</f>
        <v>1</v>
      </c>
      <c r="Z364" s="7" t="s">
        <v>2090</v>
      </c>
      <c r="AA364" s="7"/>
      <c r="AB364" s="8"/>
      <c r="AC364" s="6"/>
      <c r="AD364" s="6" t="n">
        <v>2</v>
      </c>
      <c r="AE364" s="6" t="n">
        <v>5</v>
      </c>
      <c r="AF364" s="7" t="s">
        <v>583</v>
      </c>
      <c r="AG364" s="7" t="s">
        <v>88</v>
      </c>
      <c r="AH364" s="7"/>
      <c r="AI364" s="7"/>
      <c r="AJ364" s="7"/>
      <c r="AK364" s="7"/>
      <c r="AL364" s="7" t="s">
        <v>2372</v>
      </c>
      <c r="AM364" s="7"/>
      <c r="AN364" s="7"/>
      <c r="AO364" s="7"/>
      <c r="AP364" s="7"/>
      <c r="AQ364" s="8"/>
      <c r="AR364" s="9" t="str">
        <f aca="false">IFERROR(VLOOKUP($X364,Lotes!$A:$E,5,FALSE())*$U364,"")</f>
        <v/>
      </c>
      <c r="AS364" s="9" t="n">
        <f aca="false">IF($L364="","",$L364*2.6)</f>
        <v>1911000</v>
      </c>
      <c r="AT364" s="9"/>
      <c r="AU364" s="9" t="n">
        <v>2205000</v>
      </c>
      <c r="AV364" s="9" t="n">
        <v>2205000</v>
      </c>
      <c r="AW364" s="9" t="n">
        <v>2205000</v>
      </c>
      <c r="AX364" s="7" t="s">
        <v>159</v>
      </c>
      <c r="AY364" s="7" t="s">
        <v>160</v>
      </c>
      <c r="AZ364" s="7"/>
      <c r="BA364" s="7" t="s">
        <v>2373</v>
      </c>
      <c r="BB364" s="7" t="s">
        <v>2374</v>
      </c>
      <c r="BC364" s="11" t="s">
        <v>2375</v>
      </c>
      <c r="BD364" s="7" t="s">
        <v>2077</v>
      </c>
      <c r="BE364" s="11"/>
    </row>
    <row r="365" customFormat="false" ht="23.85" hidden="false" customHeight="false" outlineLevel="0" collapsed="false">
      <c r="A365" s="6" t="n">
        <v>364</v>
      </c>
      <c r="B365" s="7"/>
      <c r="C365" s="7" t="s">
        <v>2376</v>
      </c>
      <c r="D365" s="8" t="n">
        <v>7.5</v>
      </c>
      <c r="E365" s="7" t="s">
        <v>85</v>
      </c>
      <c r="F365" s="7" t="s">
        <v>270</v>
      </c>
      <c r="G365" s="6" t="n">
        <v>32</v>
      </c>
      <c r="H365" s="7" t="s">
        <v>101</v>
      </c>
      <c r="I365" s="7" t="s">
        <v>303</v>
      </c>
      <c r="J365" s="7" t="s">
        <v>2377</v>
      </c>
      <c r="K365" s="7" t="s">
        <v>583</v>
      </c>
      <c r="L365" s="9" t="n">
        <v>441000</v>
      </c>
      <c r="M365" s="9" t="n">
        <v>1323000</v>
      </c>
      <c r="N365" s="9" t="n">
        <v>1764000</v>
      </c>
      <c r="O365" s="7" t="s">
        <v>41</v>
      </c>
      <c r="P365" s="7" t="s">
        <v>657</v>
      </c>
      <c r="Q365" s="7" t="s">
        <v>90</v>
      </c>
      <c r="R365" s="7" t="s">
        <v>2378</v>
      </c>
      <c r="S365" s="7"/>
      <c r="T365" s="7"/>
      <c r="U365" s="10" t="n">
        <v>0.09</v>
      </c>
      <c r="V365" s="7"/>
      <c r="W365" s="7"/>
      <c r="X365" s="7" t="s">
        <v>2334</v>
      </c>
      <c r="Y365" s="12" t="b">
        <f aca="false">FALSE()</f>
        <v>0</v>
      </c>
      <c r="Z365" s="7" t="s">
        <v>2090</v>
      </c>
      <c r="AA365" s="7"/>
      <c r="AB365" s="8"/>
      <c r="AC365" s="6"/>
      <c r="AD365" s="6" t="n">
        <v>2</v>
      </c>
      <c r="AE365" s="6" t="n">
        <v>5</v>
      </c>
      <c r="AF365" s="7" t="s">
        <v>583</v>
      </c>
      <c r="AG365" s="7" t="s">
        <v>88</v>
      </c>
      <c r="AH365" s="7"/>
      <c r="AI365" s="7"/>
      <c r="AJ365" s="7"/>
      <c r="AK365" s="7"/>
      <c r="AL365" s="7" t="s">
        <v>2379</v>
      </c>
      <c r="AM365" s="7"/>
      <c r="AN365" s="7"/>
      <c r="AO365" s="7"/>
      <c r="AP365" s="7"/>
      <c r="AQ365" s="8"/>
      <c r="AR365" s="9" t="n">
        <f aca="false">IFERROR(VLOOKUP($X365,Lotes!$A:$E,5,FALSE())*$U365,"")</f>
        <v>441000</v>
      </c>
      <c r="AS365" s="9" t="n">
        <f aca="false">IF($L365="","",$L365*2.6)</f>
        <v>1146600</v>
      </c>
      <c r="AT365" s="9"/>
      <c r="AU365" s="9" t="n">
        <v>1323000</v>
      </c>
      <c r="AV365" s="9" t="n">
        <v>1323000</v>
      </c>
      <c r="AW365" s="9" t="n">
        <v>0</v>
      </c>
      <c r="AX365" s="7" t="s">
        <v>657</v>
      </c>
      <c r="AY365" s="7" t="s">
        <v>94</v>
      </c>
      <c r="AZ365" s="7"/>
      <c r="BA365" s="7" t="s">
        <v>2380</v>
      </c>
      <c r="BB365" s="7" t="s">
        <v>2381</v>
      </c>
      <c r="BC365" s="11" t="s">
        <v>2382</v>
      </c>
      <c r="BD365" s="7" t="s">
        <v>2077</v>
      </c>
      <c r="BE365" s="11" t="s">
        <v>763</v>
      </c>
    </row>
    <row r="366" customFormat="false" ht="23.85" hidden="false" customHeight="false" outlineLevel="0" collapsed="false">
      <c r="A366" s="6" t="n">
        <v>365</v>
      </c>
      <c r="B366" s="7"/>
      <c r="C366" s="7" t="s">
        <v>2383</v>
      </c>
      <c r="D366" s="8"/>
      <c r="E366" s="7"/>
      <c r="F366" s="7"/>
      <c r="G366" s="6" t="n">
        <v>37</v>
      </c>
      <c r="H366" s="7"/>
      <c r="I366" s="7"/>
      <c r="J366" s="7"/>
      <c r="K366" s="7"/>
      <c r="L366" s="9" t="n">
        <v>575000</v>
      </c>
      <c r="M366" s="9" t="n">
        <v>2013000</v>
      </c>
      <c r="N366" s="9" t="n">
        <v>2300000</v>
      </c>
      <c r="O366" s="7"/>
      <c r="P366" s="7" t="s">
        <v>372</v>
      </c>
      <c r="Q366" s="7" t="s">
        <v>90</v>
      </c>
      <c r="R366" s="7" t="s">
        <v>2384</v>
      </c>
      <c r="S366" s="7"/>
      <c r="T366" s="7"/>
      <c r="U366" s="10" t="n">
        <v>1</v>
      </c>
      <c r="V366" s="7"/>
      <c r="W366" s="7"/>
      <c r="X366" s="7" t="s">
        <v>2385</v>
      </c>
      <c r="Y366" s="12" t="b">
        <f aca="false">TRUE()</f>
        <v>1</v>
      </c>
      <c r="Z366" s="7"/>
      <c r="AA366" s="7"/>
      <c r="AB366" s="8"/>
      <c r="AC366" s="6"/>
      <c r="AD366" s="6"/>
      <c r="AE366" s="6"/>
      <c r="AF366" s="7"/>
      <c r="AG366" s="7" t="s">
        <v>2386</v>
      </c>
      <c r="AH366" s="7" t="s">
        <v>2387</v>
      </c>
      <c r="AI366" s="7" t="s">
        <v>2388</v>
      </c>
      <c r="AJ366" s="7" t="s">
        <v>2389</v>
      </c>
      <c r="AK366" s="7"/>
      <c r="AL366" s="7" t="s">
        <v>2390</v>
      </c>
      <c r="AM366" s="7"/>
      <c r="AN366" s="7"/>
      <c r="AO366" s="7"/>
      <c r="AP366" s="7"/>
      <c r="AQ366" s="8"/>
      <c r="AR366" s="9" t="n">
        <f aca="false">IFERROR(VLOOKUP($X366,Lotes!$A:$E,5,FALSE())*$U366,"")</f>
        <v>575000</v>
      </c>
      <c r="AS366" s="9" t="n">
        <f aca="false">IF($L366="","",$L366*2.6)</f>
        <v>1495000</v>
      </c>
      <c r="AT366" s="9"/>
      <c r="AU366" s="9" t="n">
        <v>2013000</v>
      </c>
      <c r="AV366" s="9" t="n">
        <v>2013000</v>
      </c>
      <c r="AW366" s="9" t="n">
        <v>0</v>
      </c>
      <c r="AX366" s="7" t="s">
        <v>372</v>
      </c>
      <c r="AY366" s="7" t="s">
        <v>575</v>
      </c>
      <c r="AZ366" s="7"/>
      <c r="BA366" s="7" t="s">
        <v>2391</v>
      </c>
      <c r="BB366" s="7" t="s">
        <v>2392</v>
      </c>
      <c r="BC366" s="11" t="s">
        <v>2393</v>
      </c>
      <c r="BD366" s="7" t="s">
        <v>2077</v>
      </c>
      <c r="BE366" s="11"/>
    </row>
    <row r="367" customFormat="false" ht="15" hidden="false" customHeight="false" outlineLevel="0" collapsed="false">
      <c r="A367" s="6" t="n">
        <v>366</v>
      </c>
      <c r="B367" s="7"/>
      <c r="C367" s="7" t="s">
        <v>2394</v>
      </c>
      <c r="D367" s="8"/>
      <c r="E367" s="7"/>
      <c r="F367" s="7"/>
      <c r="G367" s="6" t="n">
        <v>1</v>
      </c>
      <c r="H367" s="7"/>
      <c r="I367" s="7"/>
      <c r="J367" s="7"/>
      <c r="K367" s="7"/>
      <c r="L367" s="9" t="n">
        <v>100000</v>
      </c>
      <c r="M367" s="9" t="n">
        <v>350000</v>
      </c>
      <c r="N367" s="9" t="n">
        <v>400000</v>
      </c>
      <c r="O367" s="7"/>
      <c r="P367" s="7"/>
      <c r="Q367" s="7" t="s">
        <v>155</v>
      </c>
      <c r="R367" s="7" t="s">
        <v>2395</v>
      </c>
      <c r="S367" s="7"/>
      <c r="T367" s="7"/>
      <c r="U367" s="10" t="n">
        <v>0.1111</v>
      </c>
      <c r="V367" s="7"/>
      <c r="W367" s="7"/>
      <c r="X367" s="7" t="s">
        <v>2396</v>
      </c>
      <c r="Y367" s="12" t="b">
        <f aca="false">TRUE()</f>
        <v>1</v>
      </c>
      <c r="Z367" s="7" t="s">
        <v>2090</v>
      </c>
      <c r="AA367" s="7" t="s">
        <v>2397</v>
      </c>
      <c r="AB367" s="8"/>
      <c r="AC367" s="6"/>
      <c r="AD367" s="6"/>
      <c r="AE367" s="6"/>
      <c r="AF367" s="7"/>
      <c r="AG367" s="7" t="s">
        <v>2398</v>
      </c>
      <c r="AH367" s="7" t="s">
        <v>1148</v>
      </c>
      <c r="AI367" s="7" t="s">
        <v>2388</v>
      </c>
      <c r="AJ367" s="7" t="s">
        <v>2389</v>
      </c>
      <c r="AK367" s="7"/>
      <c r="AL367" s="7" t="s">
        <v>2399</v>
      </c>
      <c r="AM367" s="7"/>
      <c r="AN367" s="7"/>
      <c r="AO367" s="7"/>
      <c r="AP367" s="7"/>
      <c r="AQ367" s="8"/>
      <c r="AR367" s="9" t="n">
        <f aca="false">IFERROR(VLOOKUP($X367,Lotes!$A:$E,5,FALSE())*$U367,"")</f>
        <v>99990</v>
      </c>
      <c r="AS367" s="9" t="n">
        <f aca="false">IF($L367="","",$L367*2.6)</f>
        <v>260000</v>
      </c>
      <c r="AT367" s="9"/>
      <c r="AU367" s="9" t="n">
        <v>350000</v>
      </c>
      <c r="AV367" s="9" t="n">
        <v>350000</v>
      </c>
      <c r="AW367" s="9" t="n">
        <v>350000</v>
      </c>
      <c r="AX367" s="7" t="s">
        <v>159</v>
      </c>
      <c r="AY367" s="7" t="s">
        <v>160</v>
      </c>
      <c r="AZ367" s="7"/>
      <c r="BA367" s="7" t="s">
        <v>2400</v>
      </c>
      <c r="BB367" s="7" t="s">
        <v>2401</v>
      </c>
      <c r="BC367" s="11" t="s">
        <v>2402</v>
      </c>
      <c r="BD367" s="7" t="s">
        <v>2077</v>
      </c>
      <c r="BE367" s="11" t="s">
        <v>2300</v>
      </c>
    </row>
    <row r="368" customFormat="false" ht="15" hidden="false" customHeight="false" outlineLevel="0" collapsed="false">
      <c r="A368" s="6" t="n">
        <v>367</v>
      </c>
      <c r="B368" s="7"/>
      <c r="C368" s="7" t="s">
        <v>2403</v>
      </c>
      <c r="D368" s="8" t="n">
        <v>5</v>
      </c>
      <c r="E368" s="7"/>
      <c r="F368" s="7"/>
      <c r="G368" s="6" t="n">
        <v>1</v>
      </c>
      <c r="H368" s="7"/>
      <c r="I368" s="7"/>
      <c r="J368" s="7"/>
      <c r="K368" s="7"/>
      <c r="L368" s="9" t="n">
        <v>450000</v>
      </c>
      <c r="M368" s="9" t="n">
        <v>1350000</v>
      </c>
      <c r="N368" s="9" t="n">
        <v>1800000</v>
      </c>
      <c r="O368" s="7"/>
      <c r="P368" s="7"/>
      <c r="Q368" s="7" t="s">
        <v>90</v>
      </c>
      <c r="R368" s="7" t="s">
        <v>2404</v>
      </c>
      <c r="S368" s="7"/>
      <c r="T368" s="7"/>
      <c r="U368" s="10" t="n">
        <v>1</v>
      </c>
      <c r="V368" s="7"/>
      <c r="W368" s="7"/>
      <c r="X368" s="7" t="s">
        <v>2405</v>
      </c>
      <c r="Y368" s="12" t="b">
        <f aca="false">TRUE()</f>
        <v>1</v>
      </c>
      <c r="Z368" s="7" t="s">
        <v>2090</v>
      </c>
      <c r="AA368" s="7"/>
      <c r="AB368" s="8"/>
      <c r="AC368" s="6"/>
      <c r="AD368" s="6"/>
      <c r="AE368" s="6"/>
      <c r="AF368" s="7"/>
      <c r="AG368" s="7" t="s">
        <v>2398</v>
      </c>
      <c r="AH368" s="7" t="s">
        <v>2406</v>
      </c>
      <c r="AI368" s="7" t="s">
        <v>2407</v>
      </c>
      <c r="AJ368" s="7" t="s">
        <v>2408</v>
      </c>
      <c r="AK368" s="7"/>
      <c r="AL368" s="7" t="s">
        <v>2409</v>
      </c>
      <c r="AM368" s="7"/>
      <c r="AN368" s="7"/>
      <c r="AO368" s="7"/>
      <c r="AP368" s="7"/>
      <c r="AQ368" s="8"/>
      <c r="AR368" s="9" t="n">
        <f aca="false">IFERROR(VLOOKUP($X368,Lotes!$A:$E,5,FALSE())*$U368,"")</f>
        <v>450000</v>
      </c>
      <c r="AS368" s="9" t="n">
        <f aca="false">IF($L368="","",$L368*2.6)</f>
        <v>1170000</v>
      </c>
      <c r="AT368" s="9"/>
      <c r="AU368" s="9" t="n">
        <v>1350000</v>
      </c>
      <c r="AV368" s="9" t="n">
        <v>1200960</v>
      </c>
      <c r="AW368" s="9" t="n">
        <v>0</v>
      </c>
      <c r="AX368" s="7" t="s">
        <v>657</v>
      </c>
      <c r="AY368" s="7" t="s">
        <v>94</v>
      </c>
      <c r="AZ368" s="7"/>
      <c r="BA368" s="7" t="s">
        <v>2410</v>
      </c>
      <c r="BB368" s="7" t="s">
        <v>2411</v>
      </c>
      <c r="BC368" s="11" t="s">
        <v>2412</v>
      </c>
      <c r="BD368" s="7" t="s">
        <v>2096</v>
      </c>
      <c r="BE368" s="11" t="s">
        <v>2300</v>
      </c>
    </row>
    <row r="369" customFormat="false" ht="15" hidden="false" customHeight="false" outlineLevel="0" collapsed="false">
      <c r="A369" s="6" t="n">
        <v>369</v>
      </c>
      <c r="B369" s="7"/>
      <c r="C369" s="7" t="s">
        <v>2413</v>
      </c>
      <c r="D369" s="8" t="n">
        <v>0.1</v>
      </c>
      <c r="E369" s="7" t="s">
        <v>403</v>
      </c>
      <c r="F369" s="7" t="s">
        <v>1508</v>
      </c>
      <c r="G369" s="6" t="n">
        <v>9</v>
      </c>
      <c r="H369" s="7" t="s">
        <v>101</v>
      </c>
      <c r="I369" s="7" t="s">
        <v>303</v>
      </c>
      <c r="J369" s="7" t="s">
        <v>2414</v>
      </c>
      <c r="K369" s="7" t="s">
        <v>583</v>
      </c>
      <c r="L369" s="9" t="n">
        <v>108680</v>
      </c>
      <c r="M369" s="9" t="n">
        <v>163000</v>
      </c>
      <c r="N369" s="9" t="n">
        <v>272000</v>
      </c>
      <c r="O369" s="7"/>
      <c r="P369" s="7"/>
      <c r="Q369" s="7" t="s">
        <v>155</v>
      </c>
      <c r="R369" s="7" t="s">
        <v>2415</v>
      </c>
      <c r="S369" s="7"/>
      <c r="T369" s="7"/>
      <c r="U369" s="10" t="n">
        <v>0.04</v>
      </c>
      <c r="V369" s="7"/>
      <c r="W369" s="7"/>
      <c r="X369" s="7" t="s">
        <v>2416</v>
      </c>
      <c r="Y369" s="12" t="b">
        <f aca="false">TRUE()</f>
        <v>1</v>
      </c>
      <c r="Z369" s="7" t="s">
        <v>2417</v>
      </c>
      <c r="AA369" s="7" t="s">
        <v>2418</v>
      </c>
      <c r="AB369" s="8"/>
      <c r="AC369" s="6"/>
      <c r="AD369" s="6" t="n">
        <v>1</v>
      </c>
      <c r="AE369" s="6" t="n">
        <v>1</v>
      </c>
      <c r="AF369" s="7" t="s">
        <v>583</v>
      </c>
      <c r="AG369" s="7" t="s">
        <v>88</v>
      </c>
      <c r="AH369" s="7"/>
      <c r="AI369" s="7"/>
      <c r="AJ369" s="7"/>
      <c r="AK369" s="7"/>
      <c r="AL369" s="7" t="s">
        <v>2419</v>
      </c>
      <c r="AM369" s="7"/>
      <c r="AN369" s="7"/>
      <c r="AO369" s="7"/>
      <c r="AP369" s="7"/>
      <c r="AQ369" s="8"/>
      <c r="AR369" s="9" t="n">
        <f aca="false">IFERROR(VLOOKUP($X369,Lotes!$A:$E,5,FALSE())*$U369,"")</f>
        <v>108680</v>
      </c>
      <c r="AS369" s="9" t="n">
        <f aca="false">IF($L369="","",$L369*2.6)</f>
        <v>282568</v>
      </c>
      <c r="AT369" s="9"/>
      <c r="AU369" s="9" t="n">
        <v>163000</v>
      </c>
      <c r="AV369" s="9" t="n">
        <v>163000</v>
      </c>
      <c r="AW369" s="9" t="n">
        <v>163000</v>
      </c>
      <c r="AX369" s="7" t="s">
        <v>159</v>
      </c>
      <c r="AY369" s="7" t="s">
        <v>160</v>
      </c>
      <c r="AZ369" s="7"/>
      <c r="BA369" s="7" t="s">
        <v>2420</v>
      </c>
      <c r="BB369" s="7" t="s">
        <v>2421</v>
      </c>
      <c r="BC369" s="11" t="s">
        <v>2422</v>
      </c>
      <c r="BD369" s="7" t="s">
        <v>2143</v>
      </c>
      <c r="BE369" s="11"/>
    </row>
    <row r="370" customFormat="false" ht="15" hidden="false" customHeight="false" outlineLevel="0" collapsed="false">
      <c r="A370" s="6" t="n">
        <v>370</v>
      </c>
      <c r="B370" s="7"/>
      <c r="C370" s="7" t="s">
        <v>2423</v>
      </c>
      <c r="D370" s="8" t="n">
        <v>0.09</v>
      </c>
      <c r="E370" s="7" t="s">
        <v>403</v>
      </c>
      <c r="F370" s="7" t="s">
        <v>2424</v>
      </c>
      <c r="G370" s="6" t="n">
        <v>6</v>
      </c>
      <c r="H370" s="7" t="s">
        <v>101</v>
      </c>
      <c r="I370" s="7" t="s">
        <v>303</v>
      </c>
      <c r="J370" s="7" t="s">
        <v>2425</v>
      </c>
      <c r="K370" s="7" t="s">
        <v>583</v>
      </c>
      <c r="L370" s="9" t="n">
        <v>190190</v>
      </c>
      <c r="M370" s="9" t="n">
        <v>475000</v>
      </c>
      <c r="N370" s="9" t="n">
        <v>666000</v>
      </c>
      <c r="O370" s="7"/>
      <c r="P370" s="7"/>
      <c r="Q370" s="7" t="s">
        <v>155</v>
      </c>
      <c r="R370" s="7" t="s">
        <v>2426</v>
      </c>
      <c r="S370" s="7"/>
      <c r="T370" s="7"/>
      <c r="U370" s="10" t="n">
        <v>0.07</v>
      </c>
      <c r="V370" s="7"/>
      <c r="W370" s="7"/>
      <c r="X370" s="7" t="s">
        <v>2416</v>
      </c>
      <c r="Y370" s="12" t="b">
        <f aca="false">TRUE()</f>
        <v>1</v>
      </c>
      <c r="Z370" s="7" t="s">
        <v>2417</v>
      </c>
      <c r="AA370" s="7" t="s">
        <v>2427</v>
      </c>
      <c r="AB370" s="8"/>
      <c r="AC370" s="6"/>
      <c r="AD370" s="6" t="n">
        <v>6</v>
      </c>
      <c r="AE370" s="6" t="n">
        <v>6</v>
      </c>
      <c r="AF370" s="7" t="s">
        <v>583</v>
      </c>
      <c r="AG370" s="7" t="s">
        <v>88</v>
      </c>
      <c r="AH370" s="7"/>
      <c r="AI370" s="7"/>
      <c r="AJ370" s="7"/>
      <c r="AK370" s="7"/>
      <c r="AL370" s="7" t="s">
        <v>2428</v>
      </c>
      <c r="AM370" s="7"/>
      <c r="AN370" s="7"/>
      <c r="AO370" s="7"/>
      <c r="AP370" s="7"/>
      <c r="AQ370" s="8"/>
      <c r="AR370" s="9" t="n">
        <f aca="false">IFERROR(VLOOKUP($X370,Lotes!$A:$E,5,FALSE())*$U370,"")</f>
        <v>190190</v>
      </c>
      <c r="AS370" s="9" t="n">
        <f aca="false">IF($L370="","",$L370*2.6)</f>
        <v>494494</v>
      </c>
      <c r="AT370" s="9"/>
      <c r="AU370" s="9" t="n">
        <v>475000</v>
      </c>
      <c r="AV370" s="9" t="n">
        <v>475000</v>
      </c>
      <c r="AW370" s="9" t="n">
        <v>475000</v>
      </c>
      <c r="AX370" s="7" t="s">
        <v>159</v>
      </c>
      <c r="AY370" s="7" t="s">
        <v>160</v>
      </c>
      <c r="AZ370" s="7"/>
      <c r="BA370" s="7" t="s">
        <v>2429</v>
      </c>
      <c r="BB370" s="7" t="s">
        <v>2430</v>
      </c>
      <c r="BC370" s="11" t="s">
        <v>2431</v>
      </c>
      <c r="BD370" s="7" t="s">
        <v>2432</v>
      </c>
      <c r="BE370" s="11"/>
    </row>
    <row r="371" customFormat="false" ht="15" hidden="false" customHeight="false" outlineLevel="0" collapsed="false">
      <c r="A371" s="6" t="n">
        <v>371</v>
      </c>
      <c r="B371" s="7"/>
      <c r="C371" s="7" t="s">
        <v>2433</v>
      </c>
      <c r="D371" s="8" t="n">
        <v>0.24</v>
      </c>
      <c r="E371" s="7" t="s">
        <v>403</v>
      </c>
      <c r="F371" s="7" t="s">
        <v>311</v>
      </c>
      <c r="G371" s="6" t="n">
        <v>22</v>
      </c>
      <c r="H371" s="7" t="s">
        <v>101</v>
      </c>
      <c r="I371" s="7" t="s">
        <v>303</v>
      </c>
      <c r="J371" s="7" t="s">
        <v>2434</v>
      </c>
      <c r="K371" s="7" t="s">
        <v>583</v>
      </c>
      <c r="L371" s="9" t="n">
        <v>540683</v>
      </c>
      <c r="M371" s="9" t="n">
        <v>1352000</v>
      </c>
      <c r="N371" s="9" t="n">
        <v>1892000</v>
      </c>
      <c r="O371" s="7"/>
      <c r="P371" s="7"/>
      <c r="Q371" s="7" t="s">
        <v>155</v>
      </c>
      <c r="R371" s="7" t="s">
        <v>2435</v>
      </c>
      <c r="S371" s="7"/>
      <c r="T371" s="7"/>
      <c r="U371" s="10" t="n">
        <v>0.199</v>
      </c>
      <c r="V371" s="7"/>
      <c r="W371" s="7"/>
      <c r="X371" s="7" t="s">
        <v>2416</v>
      </c>
      <c r="Y371" s="12" t="b">
        <f aca="false">TRUE()</f>
        <v>1</v>
      </c>
      <c r="Z371" s="7" t="s">
        <v>2417</v>
      </c>
      <c r="AA371" s="7"/>
      <c r="AB371" s="8"/>
      <c r="AC371" s="6"/>
      <c r="AD371" s="6" t="n">
        <v>6</v>
      </c>
      <c r="AE371" s="6" t="n">
        <v>6</v>
      </c>
      <c r="AF371" s="7" t="s">
        <v>583</v>
      </c>
      <c r="AG371" s="7" t="s">
        <v>88</v>
      </c>
      <c r="AH371" s="7"/>
      <c r="AI371" s="7"/>
      <c r="AJ371" s="7"/>
      <c r="AK371" s="7"/>
      <c r="AL371" s="7" t="s">
        <v>2436</v>
      </c>
      <c r="AM371" s="7"/>
      <c r="AN371" s="7"/>
      <c r="AO371" s="7"/>
      <c r="AP371" s="7"/>
      <c r="AQ371" s="8"/>
      <c r="AR371" s="9" t="n">
        <f aca="false">IFERROR(VLOOKUP($X371,Lotes!$A:$E,5,FALSE())*$U371,"")</f>
        <v>540683</v>
      </c>
      <c r="AS371" s="9" t="n">
        <f aca="false">IF($L371="","",$L371*2.6)</f>
        <v>1405775.8</v>
      </c>
      <c r="AT371" s="9"/>
      <c r="AU371" s="9" t="n">
        <v>1352000</v>
      </c>
      <c r="AV371" s="9" t="n">
        <v>1352000</v>
      </c>
      <c r="AW371" s="9" t="n">
        <v>0</v>
      </c>
      <c r="AX371" s="7" t="s">
        <v>109</v>
      </c>
      <c r="AY371" s="7" t="s">
        <v>575</v>
      </c>
      <c r="AZ371" s="7"/>
      <c r="BA371" s="7" t="s">
        <v>2437</v>
      </c>
      <c r="BB371" s="7" t="s">
        <v>2438</v>
      </c>
      <c r="BC371" s="11" t="s">
        <v>2439</v>
      </c>
      <c r="BD371" s="7" t="s">
        <v>2143</v>
      </c>
      <c r="BE371" s="11"/>
    </row>
    <row r="372" customFormat="false" ht="15" hidden="false" customHeight="false" outlineLevel="0" collapsed="false">
      <c r="A372" s="6" t="n">
        <v>372</v>
      </c>
      <c r="B372" s="7"/>
      <c r="C372" s="7" t="s">
        <v>2440</v>
      </c>
      <c r="D372" s="8" t="n">
        <v>0.15</v>
      </c>
      <c r="E372" s="7" t="s">
        <v>403</v>
      </c>
      <c r="F372" s="7" t="s">
        <v>270</v>
      </c>
      <c r="G372" s="6" t="n">
        <v>13</v>
      </c>
      <c r="H372" s="7" t="s">
        <v>101</v>
      </c>
      <c r="I372" s="7" t="s">
        <v>303</v>
      </c>
      <c r="J372" s="7" t="s">
        <v>2441</v>
      </c>
      <c r="K372" s="7" t="s">
        <v>583</v>
      </c>
      <c r="L372" s="9" t="n">
        <v>268983</v>
      </c>
      <c r="M372" s="9" t="n">
        <v>807000</v>
      </c>
      <c r="N372" s="9" t="n">
        <v>1076000</v>
      </c>
      <c r="O372" s="7"/>
      <c r="P372" s="7"/>
      <c r="Q372" s="7" t="s">
        <v>155</v>
      </c>
      <c r="R372" s="7" t="s">
        <v>2442</v>
      </c>
      <c r="S372" s="7"/>
      <c r="T372" s="7"/>
      <c r="U372" s="10" t="n">
        <v>0.099</v>
      </c>
      <c r="V372" s="7"/>
      <c r="W372" s="7"/>
      <c r="X372" s="7" t="s">
        <v>2416</v>
      </c>
      <c r="Y372" s="12" t="b">
        <f aca="false">TRUE()</f>
        <v>1</v>
      </c>
      <c r="Z372" s="7" t="s">
        <v>2417</v>
      </c>
      <c r="AA372" s="7"/>
      <c r="AB372" s="8"/>
      <c r="AC372" s="6"/>
      <c r="AD372" s="6" t="n">
        <v>6</v>
      </c>
      <c r="AE372" s="6" t="n">
        <v>6</v>
      </c>
      <c r="AF372" s="7" t="s">
        <v>583</v>
      </c>
      <c r="AG372" s="7" t="s">
        <v>88</v>
      </c>
      <c r="AH372" s="7"/>
      <c r="AI372" s="7"/>
      <c r="AJ372" s="7"/>
      <c r="AK372" s="7"/>
      <c r="AL372" s="7" t="s">
        <v>2443</v>
      </c>
      <c r="AM372" s="7"/>
      <c r="AN372" s="7"/>
      <c r="AO372" s="7"/>
      <c r="AP372" s="7"/>
      <c r="AQ372" s="8"/>
      <c r="AR372" s="9" t="n">
        <f aca="false">IFERROR(VLOOKUP($X372,Lotes!$A:$E,5,FALSE())*$U372,"")</f>
        <v>268983</v>
      </c>
      <c r="AS372" s="9" t="n">
        <f aca="false">IF($L372="","",$L372*2.6)</f>
        <v>699355.8</v>
      </c>
      <c r="AT372" s="9"/>
      <c r="AU372" s="9" t="n">
        <v>807000</v>
      </c>
      <c r="AV372" s="9" t="n">
        <v>807000</v>
      </c>
      <c r="AW372" s="9" t="n">
        <v>0</v>
      </c>
      <c r="AX372" s="7" t="s">
        <v>109</v>
      </c>
      <c r="AY372" s="7" t="s">
        <v>575</v>
      </c>
      <c r="AZ372" s="7"/>
      <c r="BA372" s="7" t="s">
        <v>2444</v>
      </c>
      <c r="BB372" s="7" t="s">
        <v>2445</v>
      </c>
      <c r="BC372" s="11" t="s">
        <v>2446</v>
      </c>
      <c r="BD372" s="7" t="s">
        <v>2143</v>
      </c>
      <c r="BE372" s="11"/>
    </row>
    <row r="373" customFormat="false" ht="15" hidden="false" customHeight="false" outlineLevel="0" collapsed="false">
      <c r="A373" s="6" t="n">
        <v>373</v>
      </c>
      <c r="B373" s="7"/>
      <c r="C373" s="7" t="s">
        <v>2447</v>
      </c>
      <c r="D373" s="8" t="n">
        <v>0.2</v>
      </c>
      <c r="E373" s="7" t="s">
        <v>403</v>
      </c>
      <c r="F373" s="7" t="s">
        <v>311</v>
      </c>
      <c r="G373" s="6" t="n">
        <v>17</v>
      </c>
      <c r="H373" s="7" t="s">
        <v>101</v>
      </c>
      <c r="I373" s="7" t="s">
        <v>303</v>
      </c>
      <c r="J373" s="7" t="s">
        <v>2441</v>
      </c>
      <c r="K373" s="7" t="s">
        <v>583</v>
      </c>
      <c r="L373" s="9" t="n">
        <v>353210</v>
      </c>
      <c r="M373" s="9" t="n">
        <v>1060000</v>
      </c>
      <c r="N373" s="9" t="n">
        <v>1413000</v>
      </c>
      <c r="O373" s="7"/>
      <c r="P373" s="7"/>
      <c r="Q373" s="7" t="s">
        <v>155</v>
      </c>
      <c r="R373" s="7" t="s">
        <v>2448</v>
      </c>
      <c r="S373" s="7"/>
      <c r="T373" s="7"/>
      <c r="U373" s="10" t="n">
        <v>0.13</v>
      </c>
      <c r="V373" s="7"/>
      <c r="W373" s="7"/>
      <c r="X373" s="7" t="s">
        <v>2416</v>
      </c>
      <c r="Y373" s="12" t="b">
        <f aca="false">TRUE()</f>
        <v>1</v>
      </c>
      <c r="Z373" s="7" t="s">
        <v>2417</v>
      </c>
      <c r="AA373" s="7" t="s">
        <v>2449</v>
      </c>
      <c r="AB373" s="8"/>
      <c r="AC373" s="6"/>
      <c r="AD373" s="6" t="n">
        <v>6</v>
      </c>
      <c r="AE373" s="6" t="n">
        <v>6</v>
      </c>
      <c r="AF373" s="7" t="s">
        <v>583</v>
      </c>
      <c r="AG373" s="7" t="s">
        <v>88</v>
      </c>
      <c r="AH373" s="7"/>
      <c r="AI373" s="7"/>
      <c r="AJ373" s="7"/>
      <c r="AK373" s="7"/>
      <c r="AL373" s="7" t="s">
        <v>2450</v>
      </c>
      <c r="AM373" s="7"/>
      <c r="AN373" s="7"/>
      <c r="AO373" s="7"/>
      <c r="AP373" s="7"/>
      <c r="AQ373" s="8"/>
      <c r="AR373" s="9" t="n">
        <f aca="false">IFERROR(VLOOKUP($X373,Lotes!$A:$E,5,FALSE())*$U373,"")</f>
        <v>353210</v>
      </c>
      <c r="AS373" s="9" t="n">
        <f aca="false">IF($L373="","",$L373*2.6)</f>
        <v>918346</v>
      </c>
      <c r="AT373" s="9"/>
      <c r="AU373" s="9" t="n">
        <v>1060000</v>
      </c>
      <c r="AV373" s="9" t="n">
        <v>1060000</v>
      </c>
      <c r="AW373" s="9" t="n">
        <v>1060000</v>
      </c>
      <c r="AX373" s="7" t="s">
        <v>159</v>
      </c>
      <c r="AY373" s="7" t="s">
        <v>160</v>
      </c>
      <c r="AZ373" s="7"/>
      <c r="BA373" s="7" t="s">
        <v>2451</v>
      </c>
      <c r="BB373" s="7" t="s">
        <v>2452</v>
      </c>
      <c r="BC373" s="11" t="s">
        <v>2453</v>
      </c>
      <c r="BD373" s="7" t="s">
        <v>2143</v>
      </c>
      <c r="BE373" s="11"/>
    </row>
    <row r="374" customFormat="false" ht="15" hidden="false" customHeight="false" outlineLevel="0" collapsed="false">
      <c r="A374" s="6" t="n">
        <v>374</v>
      </c>
      <c r="B374" s="7"/>
      <c r="C374" s="7" t="s">
        <v>2454</v>
      </c>
      <c r="D374" s="8" t="n">
        <v>0.07</v>
      </c>
      <c r="E374" s="7" t="s">
        <v>403</v>
      </c>
      <c r="F374" s="7" t="s">
        <v>148</v>
      </c>
      <c r="G374" s="6" t="n">
        <v>5</v>
      </c>
      <c r="H374" s="7" t="s">
        <v>101</v>
      </c>
      <c r="I374" s="7" t="s">
        <v>303</v>
      </c>
      <c r="J374" s="7" t="s">
        <v>2441</v>
      </c>
      <c r="K374" s="7" t="s">
        <v>583</v>
      </c>
      <c r="L374" s="9" t="n">
        <v>81510</v>
      </c>
      <c r="M374" s="9" t="n">
        <v>163000</v>
      </c>
      <c r="N374" s="9" t="n">
        <v>245000</v>
      </c>
      <c r="O374" s="7"/>
      <c r="P374" s="7"/>
      <c r="Q374" s="7" t="s">
        <v>155</v>
      </c>
      <c r="R374" s="7" t="s">
        <v>2455</v>
      </c>
      <c r="S374" s="7"/>
      <c r="T374" s="7"/>
      <c r="U374" s="10" t="n">
        <v>0.03</v>
      </c>
      <c r="V374" s="7"/>
      <c r="W374" s="7"/>
      <c r="X374" s="7" t="s">
        <v>2416</v>
      </c>
      <c r="Y374" s="12" t="b">
        <f aca="false">TRUE()</f>
        <v>1</v>
      </c>
      <c r="Z374" s="7" t="s">
        <v>2417</v>
      </c>
      <c r="AA374" s="7"/>
      <c r="AB374" s="8"/>
      <c r="AC374" s="6"/>
      <c r="AD374" s="6" t="n">
        <v>3</v>
      </c>
      <c r="AE374" s="6" t="n">
        <v>4</v>
      </c>
      <c r="AF374" s="7" t="s">
        <v>583</v>
      </c>
      <c r="AG374" s="7" t="s">
        <v>88</v>
      </c>
      <c r="AH374" s="7"/>
      <c r="AI374" s="7"/>
      <c r="AJ374" s="7"/>
      <c r="AK374" s="7"/>
      <c r="AL374" s="7" t="s">
        <v>2456</v>
      </c>
      <c r="AM374" s="7"/>
      <c r="AN374" s="7"/>
      <c r="AO374" s="7"/>
      <c r="AP374" s="7"/>
      <c r="AQ374" s="8"/>
      <c r="AR374" s="9" t="n">
        <f aca="false">IFERROR(VLOOKUP($X374,Lotes!$A:$E,5,FALSE())*$U374,"")</f>
        <v>81510</v>
      </c>
      <c r="AS374" s="9" t="n">
        <f aca="false">IF($L374="","",$L374*2.6)</f>
        <v>211926</v>
      </c>
      <c r="AT374" s="9"/>
      <c r="AU374" s="9" t="n">
        <v>163000</v>
      </c>
      <c r="AV374" s="9" t="n">
        <v>163000</v>
      </c>
      <c r="AW374" s="9" t="n">
        <v>163000</v>
      </c>
      <c r="AX374" s="7" t="s">
        <v>159</v>
      </c>
      <c r="AY374" s="7" t="s">
        <v>160</v>
      </c>
      <c r="AZ374" s="7"/>
      <c r="BA374" s="7" t="s">
        <v>2457</v>
      </c>
      <c r="BB374" s="7" t="s">
        <v>2458</v>
      </c>
      <c r="BC374" s="11" t="s">
        <v>2459</v>
      </c>
      <c r="BD374" s="7" t="s">
        <v>2143</v>
      </c>
      <c r="BE374" s="11"/>
    </row>
    <row r="375" customFormat="false" ht="15" hidden="false" customHeight="false" outlineLevel="0" collapsed="false">
      <c r="A375" s="6" t="n">
        <v>375</v>
      </c>
      <c r="B375" s="7"/>
      <c r="C375" s="7" t="s">
        <v>2460</v>
      </c>
      <c r="D375" s="8" t="n">
        <v>0.12</v>
      </c>
      <c r="E375" s="7" t="s">
        <v>403</v>
      </c>
      <c r="F375" s="7" t="s">
        <v>270</v>
      </c>
      <c r="G375" s="6" t="n">
        <v>11</v>
      </c>
      <c r="H375" s="7" t="s">
        <v>101</v>
      </c>
      <c r="I375" s="7" t="s">
        <v>303</v>
      </c>
      <c r="J375" s="7" t="s">
        <v>2461</v>
      </c>
      <c r="K375" s="7" t="s">
        <v>583</v>
      </c>
      <c r="L375" s="9" t="n">
        <v>228228</v>
      </c>
      <c r="M375" s="9" t="n">
        <v>571000</v>
      </c>
      <c r="N375" s="9" t="n">
        <v>799000</v>
      </c>
      <c r="O375" s="7"/>
      <c r="P375" s="7"/>
      <c r="Q375" s="7" t="s">
        <v>155</v>
      </c>
      <c r="R375" s="7" t="s">
        <v>2462</v>
      </c>
      <c r="S375" s="7"/>
      <c r="T375" s="7"/>
      <c r="U375" s="10" t="n">
        <v>0.084</v>
      </c>
      <c r="V375" s="7"/>
      <c r="W375" s="7"/>
      <c r="X375" s="7" t="s">
        <v>2416</v>
      </c>
      <c r="Y375" s="12" t="b">
        <f aca="false">TRUE()</f>
        <v>1</v>
      </c>
      <c r="Z375" s="7" t="s">
        <v>2417</v>
      </c>
      <c r="AA375" s="7"/>
      <c r="AB375" s="8"/>
      <c r="AC375" s="6"/>
      <c r="AD375" s="6" t="n">
        <v>3</v>
      </c>
      <c r="AE375" s="6" t="n">
        <v>4</v>
      </c>
      <c r="AF375" s="7" t="s">
        <v>583</v>
      </c>
      <c r="AG375" s="7" t="s">
        <v>88</v>
      </c>
      <c r="AH375" s="7"/>
      <c r="AI375" s="7"/>
      <c r="AJ375" s="7"/>
      <c r="AK375" s="7"/>
      <c r="AL375" s="7" t="s">
        <v>2463</v>
      </c>
      <c r="AM375" s="7"/>
      <c r="AN375" s="7"/>
      <c r="AO375" s="7"/>
      <c r="AP375" s="7"/>
      <c r="AQ375" s="8"/>
      <c r="AR375" s="9" t="n">
        <f aca="false">IFERROR(VLOOKUP($X375,Lotes!$A:$E,5,FALSE())*$U375,"")</f>
        <v>228228</v>
      </c>
      <c r="AS375" s="9" t="n">
        <f aca="false">IF($L375="","",$L375*2.6)</f>
        <v>593392.8</v>
      </c>
      <c r="AT375" s="9"/>
      <c r="AU375" s="9" t="n">
        <v>571000</v>
      </c>
      <c r="AV375" s="9" t="n">
        <v>571000</v>
      </c>
      <c r="AW375" s="9" t="n">
        <v>571000</v>
      </c>
      <c r="AX375" s="7" t="s">
        <v>159</v>
      </c>
      <c r="AY375" s="7" t="s">
        <v>160</v>
      </c>
      <c r="AZ375" s="7"/>
      <c r="BA375" s="7" t="s">
        <v>2464</v>
      </c>
      <c r="BB375" s="7" t="s">
        <v>2465</v>
      </c>
      <c r="BC375" s="11" t="s">
        <v>2466</v>
      </c>
      <c r="BD375" s="7" t="s">
        <v>2143</v>
      </c>
      <c r="BE375" s="11"/>
    </row>
    <row r="376" customFormat="false" ht="15" hidden="false" customHeight="false" outlineLevel="0" collapsed="false">
      <c r="A376" s="6" t="n">
        <v>376</v>
      </c>
      <c r="B376" s="7"/>
      <c r="C376" s="7" t="s">
        <v>2467</v>
      </c>
      <c r="D376" s="8" t="n">
        <v>0.08</v>
      </c>
      <c r="E376" s="7" t="s">
        <v>403</v>
      </c>
      <c r="F376" s="7" t="s">
        <v>2067</v>
      </c>
      <c r="G376" s="6" t="n">
        <v>8</v>
      </c>
      <c r="H376" s="7" t="s">
        <v>101</v>
      </c>
      <c r="I376" s="7" t="s">
        <v>303</v>
      </c>
      <c r="J376" s="7" t="s">
        <v>2425</v>
      </c>
      <c r="K376" s="7" t="s">
        <v>583</v>
      </c>
      <c r="L376" s="9" t="n">
        <v>135850</v>
      </c>
      <c r="M376" s="9" t="n">
        <v>408000</v>
      </c>
      <c r="N376" s="9" t="n">
        <v>543000</v>
      </c>
      <c r="O376" s="7"/>
      <c r="P376" s="7"/>
      <c r="Q376" s="7" t="s">
        <v>155</v>
      </c>
      <c r="R376" s="7" t="s">
        <v>2468</v>
      </c>
      <c r="S376" s="7"/>
      <c r="T376" s="7"/>
      <c r="U376" s="10" t="n">
        <v>0.05</v>
      </c>
      <c r="V376" s="7"/>
      <c r="W376" s="7"/>
      <c r="X376" s="7" t="s">
        <v>2416</v>
      </c>
      <c r="Y376" s="12" t="b">
        <f aca="false">TRUE()</f>
        <v>1</v>
      </c>
      <c r="Z376" s="7" t="s">
        <v>2417</v>
      </c>
      <c r="AA376" s="7" t="s">
        <v>2469</v>
      </c>
      <c r="AB376" s="8"/>
      <c r="AC376" s="6"/>
      <c r="AD376" s="6" t="n">
        <v>4</v>
      </c>
      <c r="AE376" s="6" t="n">
        <v>4</v>
      </c>
      <c r="AF376" s="7" t="s">
        <v>583</v>
      </c>
      <c r="AG376" s="7" t="s">
        <v>88</v>
      </c>
      <c r="AH376" s="7"/>
      <c r="AI376" s="7"/>
      <c r="AJ376" s="7"/>
      <c r="AK376" s="7"/>
      <c r="AL376" s="7" t="s">
        <v>2470</v>
      </c>
      <c r="AM376" s="7"/>
      <c r="AN376" s="7"/>
      <c r="AO376" s="7"/>
      <c r="AP376" s="7"/>
      <c r="AQ376" s="8"/>
      <c r="AR376" s="9" t="n">
        <f aca="false">IFERROR(VLOOKUP($X376,Lotes!$A:$E,5,FALSE())*$U376,"")</f>
        <v>135850</v>
      </c>
      <c r="AS376" s="9" t="n">
        <f aca="false">IF($L376="","",$L376*2.6)</f>
        <v>353210</v>
      </c>
      <c r="AT376" s="9"/>
      <c r="AU376" s="9" t="n">
        <v>408000</v>
      </c>
      <c r="AV376" s="9" t="n">
        <v>408000</v>
      </c>
      <c r="AW376" s="9" t="n">
        <v>408000</v>
      </c>
      <c r="AX376" s="7" t="s">
        <v>159</v>
      </c>
      <c r="AY376" s="7" t="s">
        <v>160</v>
      </c>
      <c r="AZ376" s="7"/>
      <c r="BA376" s="7" t="s">
        <v>2471</v>
      </c>
      <c r="BB376" s="7" t="s">
        <v>2472</v>
      </c>
      <c r="BC376" s="11" t="s">
        <v>2473</v>
      </c>
      <c r="BD376" s="7" t="s">
        <v>2143</v>
      </c>
      <c r="BE376" s="11"/>
    </row>
    <row r="377" customFormat="false" ht="15" hidden="false" customHeight="false" outlineLevel="0" collapsed="false">
      <c r="A377" s="6" t="n">
        <v>377</v>
      </c>
      <c r="B377" s="7"/>
      <c r="C377" s="7" t="s">
        <v>2474</v>
      </c>
      <c r="D377" s="8" t="n">
        <v>0.09</v>
      </c>
      <c r="E377" s="7" t="s">
        <v>403</v>
      </c>
      <c r="F377" s="7" t="s">
        <v>2067</v>
      </c>
      <c r="G377" s="6" t="n">
        <v>9</v>
      </c>
      <c r="H377" s="7" t="s">
        <v>101</v>
      </c>
      <c r="I377" s="7" t="s">
        <v>303</v>
      </c>
      <c r="J377" s="7" t="s">
        <v>2425</v>
      </c>
      <c r="K377" s="7" t="s">
        <v>583</v>
      </c>
      <c r="L377" s="9" t="n">
        <v>144001</v>
      </c>
      <c r="M377" s="9" t="n">
        <v>432000</v>
      </c>
      <c r="N377" s="9" t="n">
        <v>576000</v>
      </c>
      <c r="O377" s="7"/>
      <c r="P377" s="7"/>
      <c r="Q377" s="7" t="s">
        <v>155</v>
      </c>
      <c r="R377" s="7" t="s">
        <v>2475</v>
      </c>
      <c r="S377" s="7"/>
      <c r="T377" s="7"/>
      <c r="U377" s="10" t="n">
        <v>0.053</v>
      </c>
      <c r="V377" s="7"/>
      <c r="W377" s="7"/>
      <c r="X377" s="7" t="s">
        <v>2416</v>
      </c>
      <c r="Y377" s="12" t="b">
        <f aca="false">TRUE()</f>
        <v>1</v>
      </c>
      <c r="Z377" s="7" t="s">
        <v>2417</v>
      </c>
      <c r="AA377" s="7"/>
      <c r="AB377" s="8"/>
      <c r="AC377" s="6"/>
      <c r="AD377" s="6" t="n">
        <v>4</v>
      </c>
      <c r="AE377" s="6" t="n">
        <v>3</v>
      </c>
      <c r="AF377" s="7" t="s">
        <v>583</v>
      </c>
      <c r="AG377" s="7" t="s">
        <v>88</v>
      </c>
      <c r="AH377" s="7"/>
      <c r="AI377" s="7"/>
      <c r="AJ377" s="7"/>
      <c r="AK377" s="7"/>
      <c r="AL377" s="7" t="s">
        <v>2476</v>
      </c>
      <c r="AM377" s="7"/>
      <c r="AN377" s="7"/>
      <c r="AO377" s="7"/>
      <c r="AP377" s="7"/>
      <c r="AQ377" s="8"/>
      <c r="AR377" s="9" t="n">
        <f aca="false">IFERROR(VLOOKUP($X377,Lotes!$A:$E,5,FALSE())*$U377,"")</f>
        <v>144001</v>
      </c>
      <c r="AS377" s="9" t="n">
        <f aca="false">IF($L377="","",$L377*2.6)</f>
        <v>374402.6</v>
      </c>
      <c r="AT377" s="9"/>
      <c r="AU377" s="9" t="n">
        <v>432000</v>
      </c>
      <c r="AV377" s="9" t="n">
        <v>432000</v>
      </c>
      <c r="AW377" s="9" t="n">
        <v>432000</v>
      </c>
      <c r="AX377" s="7" t="s">
        <v>159</v>
      </c>
      <c r="AY377" s="7" t="s">
        <v>160</v>
      </c>
      <c r="AZ377" s="7"/>
      <c r="BA377" s="7" t="s">
        <v>2477</v>
      </c>
      <c r="BB377" s="7" t="s">
        <v>2478</v>
      </c>
      <c r="BC377" s="11" t="s">
        <v>2479</v>
      </c>
      <c r="BD377" s="7" t="s">
        <v>2143</v>
      </c>
      <c r="BE377" s="11"/>
    </row>
    <row r="378" customFormat="false" ht="57.45" hidden="false" customHeight="false" outlineLevel="0" collapsed="false">
      <c r="A378" s="6" t="n">
        <v>378</v>
      </c>
      <c r="B378" s="7"/>
      <c r="C378" s="7" t="s">
        <v>2480</v>
      </c>
      <c r="D378" s="8" t="n">
        <v>0.08</v>
      </c>
      <c r="E378" s="7" t="s">
        <v>403</v>
      </c>
      <c r="F378" s="7" t="s">
        <v>680</v>
      </c>
      <c r="G378" s="6" t="n">
        <v>7</v>
      </c>
      <c r="H378" s="7" t="s">
        <v>101</v>
      </c>
      <c r="I378" s="7" t="s">
        <v>303</v>
      </c>
      <c r="J378" s="7" t="s">
        <v>2414</v>
      </c>
      <c r="K378" s="7" t="s">
        <v>583</v>
      </c>
      <c r="L378" s="9" t="n">
        <v>163020</v>
      </c>
      <c r="M378" s="9" t="n">
        <v>489000</v>
      </c>
      <c r="N378" s="9" t="n">
        <v>652000</v>
      </c>
      <c r="O378" s="7"/>
      <c r="P378" s="7" t="s">
        <v>1730</v>
      </c>
      <c r="Q378" s="7" t="s">
        <v>90</v>
      </c>
      <c r="R378" s="7" t="s">
        <v>2481</v>
      </c>
      <c r="S378" s="7"/>
      <c r="T378" s="7"/>
      <c r="U378" s="10" t="n">
        <v>0.06</v>
      </c>
      <c r="V378" s="7"/>
      <c r="W378" s="7"/>
      <c r="X378" s="7" t="s">
        <v>2416</v>
      </c>
      <c r="Y378" s="12" t="b">
        <f aca="false">TRUE()</f>
        <v>1</v>
      </c>
      <c r="Z378" s="7" t="s">
        <v>2417</v>
      </c>
      <c r="AA378" s="7"/>
      <c r="AB378" s="8"/>
      <c r="AC378" s="6"/>
      <c r="AD378" s="6" t="n">
        <v>4</v>
      </c>
      <c r="AE378" s="6" t="n">
        <v>5</v>
      </c>
      <c r="AF378" s="7" t="s">
        <v>583</v>
      </c>
      <c r="AG378" s="7" t="s">
        <v>88</v>
      </c>
      <c r="AH378" s="7"/>
      <c r="AI378" s="7"/>
      <c r="AJ378" s="7"/>
      <c r="AK378" s="7"/>
      <c r="AL378" s="7" t="s">
        <v>2482</v>
      </c>
      <c r="AM378" s="7"/>
      <c r="AN378" s="7"/>
      <c r="AO378" s="7"/>
      <c r="AP378" s="7"/>
      <c r="AQ378" s="8"/>
      <c r="AR378" s="9" t="n">
        <f aca="false">IFERROR(VLOOKUP($X378,Lotes!$A:$E,5,FALSE())*$U378,"")</f>
        <v>163020</v>
      </c>
      <c r="AS378" s="9" t="n">
        <f aca="false">IF($L378="","",$L378*2.6)</f>
        <v>423852</v>
      </c>
      <c r="AT378" s="9"/>
      <c r="AU378" s="9" t="n">
        <v>489000</v>
      </c>
      <c r="AV378" s="9" t="n">
        <v>489000</v>
      </c>
      <c r="AW378" s="9" t="n">
        <v>489000</v>
      </c>
      <c r="AX378" s="7" t="s">
        <v>159</v>
      </c>
      <c r="AY378" s="7" t="s">
        <v>160</v>
      </c>
      <c r="AZ378" s="7"/>
      <c r="BA378" s="7" t="s">
        <v>2483</v>
      </c>
      <c r="BB378" s="7" t="s">
        <v>2484</v>
      </c>
      <c r="BC378" s="11" t="s">
        <v>2485</v>
      </c>
      <c r="BD378" s="7" t="s">
        <v>2143</v>
      </c>
      <c r="BE378" s="11" t="s">
        <v>1736</v>
      </c>
    </row>
    <row r="379" customFormat="false" ht="46.25" hidden="false" customHeight="false" outlineLevel="0" collapsed="false">
      <c r="A379" s="6" t="n">
        <v>379</v>
      </c>
      <c r="B379" s="7"/>
      <c r="C379" s="7" t="s">
        <v>2486</v>
      </c>
      <c r="D379" s="8" t="n">
        <v>0.08</v>
      </c>
      <c r="E379" s="7" t="s">
        <v>403</v>
      </c>
      <c r="F379" s="7" t="s">
        <v>311</v>
      </c>
      <c r="G379" s="6" t="n">
        <v>7</v>
      </c>
      <c r="H379" s="7" t="s">
        <v>101</v>
      </c>
      <c r="I379" s="7" t="s">
        <v>303</v>
      </c>
      <c r="J379" s="7" t="s">
        <v>2414</v>
      </c>
      <c r="K379" s="7" t="s">
        <v>583</v>
      </c>
      <c r="L379" s="9" t="n">
        <v>135850</v>
      </c>
      <c r="M379" s="9" t="n">
        <v>408000</v>
      </c>
      <c r="N379" s="9" t="n">
        <v>543000</v>
      </c>
      <c r="O379" s="7"/>
      <c r="P379" s="7" t="s">
        <v>1032</v>
      </c>
      <c r="Q379" s="7" t="s">
        <v>1033</v>
      </c>
      <c r="R379" s="7" t="s">
        <v>2487</v>
      </c>
      <c r="S379" s="7"/>
      <c r="T379" s="7"/>
      <c r="U379" s="10" t="n">
        <v>0.05</v>
      </c>
      <c r="V379" s="7" t="s">
        <v>1032</v>
      </c>
      <c r="W379" s="7" t="s">
        <v>1033</v>
      </c>
      <c r="X379" s="7" t="s">
        <v>2416</v>
      </c>
      <c r="Y379" s="12" t="b">
        <f aca="false">TRUE()</f>
        <v>1</v>
      </c>
      <c r="Z379" s="7" t="s">
        <v>2417</v>
      </c>
      <c r="AA379" s="7"/>
      <c r="AB379" s="8"/>
      <c r="AC379" s="6"/>
      <c r="AD379" s="6" t="n">
        <v>4</v>
      </c>
      <c r="AE379" s="6" t="n">
        <v>4</v>
      </c>
      <c r="AF379" s="7" t="s">
        <v>583</v>
      </c>
      <c r="AG379" s="7" t="s">
        <v>88</v>
      </c>
      <c r="AH379" s="7"/>
      <c r="AI379" s="7"/>
      <c r="AJ379" s="7"/>
      <c r="AK379" s="7"/>
      <c r="AL379" s="7" t="s">
        <v>2488</v>
      </c>
      <c r="AM379" s="7"/>
      <c r="AN379" s="7"/>
      <c r="AO379" s="7"/>
      <c r="AP379" s="7"/>
      <c r="AQ379" s="8"/>
      <c r="AR379" s="9" t="n">
        <f aca="false">IFERROR(VLOOKUP($X379,Lotes!$A:$E,5,FALSE())*$U379,"")</f>
        <v>135850</v>
      </c>
      <c r="AS379" s="9" t="n">
        <f aca="false">IF($L379="","",$L379*2.6)</f>
        <v>353210</v>
      </c>
      <c r="AT379" s="9"/>
      <c r="AU379" s="9" t="n">
        <v>408000</v>
      </c>
      <c r="AV379" s="9" t="n">
        <v>408000</v>
      </c>
      <c r="AW379" s="9" t="n">
        <v>408000</v>
      </c>
      <c r="AX379" s="7" t="s">
        <v>159</v>
      </c>
      <c r="AY379" s="7" t="s">
        <v>160</v>
      </c>
      <c r="AZ379" s="7"/>
      <c r="BA379" s="7" t="s">
        <v>2489</v>
      </c>
      <c r="BB379" s="7" t="s">
        <v>2490</v>
      </c>
      <c r="BC379" s="11" t="s">
        <v>2491</v>
      </c>
      <c r="BD379" s="7" t="s">
        <v>2492</v>
      </c>
      <c r="BE379" s="11" t="s">
        <v>1039</v>
      </c>
    </row>
    <row r="380" customFormat="false" ht="15" hidden="false" customHeight="false" outlineLevel="0" collapsed="false">
      <c r="A380" s="6" t="n">
        <v>380</v>
      </c>
      <c r="B380" s="7"/>
      <c r="C380" s="7" t="s">
        <v>2493</v>
      </c>
      <c r="D380" s="8" t="n">
        <v>0.15</v>
      </c>
      <c r="E380" s="7" t="s">
        <v>403</v>
      </c>
      <c r="F380" s="7" t="s">
        <v>270</v>
      </c>
      <c r="G380" s="6" t="n">
        <v>17</v>
      </c>
      <c r="H380" s="7" t="s">
        <v>101</v>
      </c>
      <c r="I380" s="7" t="s">
        <v>303</v>
      </c>
      <c r="J380" s="7" t="s">
        <v>2494</v>
      </c>
      <c r="K380" s="7" t="s">
        <v>583</v>
      </c>
      <c r="L380" s="9" t="n">
        <v>366795</v>
      </c>
      <c r="M380" s="9" t="n">
        <v>917000</v>
      </c>
      <c r="N380" s="9" t="n">
        <v>1284000</v>
      </c>
      <c r="O380" s="7"/>
      <c r="P380" s="7"/>
      <c r="Q380" s="7" t="s">
        <v>155</v>
      </c>
      <c r="R380" s="7" t="s">
        <v>2495</v>
      </c>
      <c r="S380" s="7"/>
      <c r="T380" s="7"/>
      <c r="U380" s="10" t="n">
        <v>0.135</v>
      </c>
      <c r="V380" s="7"/>
      <c r="W380" s="7"/>
      <c r="X380" s="7" t="s">
        <v>2416</v>
      </c>
      <c r="Y380" s="12" t="b">
        <f aca="false">TRUE()</f>
        <v>1</v>
      </c>
      <c r="Z380" s="7" t="s">
        <v>2417</v>
      </c>
      <c r="AA380" s="7"/>
      <c r="AB380" s="8"/>
      <c r="AC380" s="6"/>
      <c r="AD380" s="6" t="n">
        <v>4</v>
      </c>
      <c r="AE380" s="6" t="n">
        <v>4</v>
      </c>
      <c r="AF380" s="7" t="s">
        <v>583</v>
      </c>
      <c r="AG380" s="7" t="s">
        <v>88</v>
      </c>
      <c r="AH380" s="7"/>
      <c r="AI380" s="7"/>
      <c r="AJ380" s="7"/>
      <c r="AK380" s="7"/>
      <c r="AL380" s="7" t="s">
        <v>2496</v>
      </c>
      <c r="AM380" s="7"/>
      <c r="AN380" s="7"/>
      <c r="AO380" s="7"/>
      <c r="AP380" s="7"/>
      <c r="AQ380" s="8"/>
      <c r="AR380" s="9" t="n">
        <f aca="false">IFERROR(VLOOKUP($X380,Lotes!$A:$E,5,FALSE())*$U380,"")</f>
        <v>366795</v>
      </c>
      <c r="AS380" s="9" t="n">
        <f aca="false">IF($L380="","",$L380*2.6)</f>
        <v>953667</v>
      </c>
      <c r="AT380" s="9"/>
      <c r="AU380" s="9" t="n">
        <v>917000</v>
      </c>
      <c r="AV380" s="9" t="n">
        <v>917000</v>
      </c>
      <c r="AW380" s="9" t="n">
        <v>0</v>
      </c>
      <c r="AX380" s="7" t="s">
        <v>109</v>
      </c>
      <c r="AY380" s="7" t="s">
        <v>575</v>
      </c>
      <c r="AZ380" s="7"/>
      <c r="BA380" s="7" t="s">
        <v>2497</v>
      </c>
      <c r="BB380" s="7" t="s">
        <v>2498</v>
      </c>
      <c r="BC380" s="11" t="s">
        <v>2499</v>
      </c>
      <c r="BD380" s="7" t="s">
        <v>2143</v>
      </c>
      <c r="BE380" s="11"/>
    </row>
    <row r="381" customFormat="false" ht="15" hidden="false" customHeight="false" outlineLevel="0" collapsed="false">
      <c r="A381" s="6" t="n">
        <v>381</v>
      </c>
      <c r="B381" s="7"/>
      <c r="C381" s="7" t="s">
        <v>2500</v>
      </c>
      <c r="D381" s="8" t="n">
        <v>0.14</v>
      </c>
      <c r="E381" s="7" t="s">
        <v>403</v>
      </c>
      <c r="F381" s="7" t="s">
        <v>86</v>
      </c>
      <c r="G381" s="6" t="n">
        <v>5</v>
      </c>
      <c r="H381" s="7" t="s">
        <v>101</v>
      </c>
      <c r="I381" s="7" t="s">
        <v>303</v>
      </c>
      <c r="J381" s="7" t="s">
        <v>1706</v>
      </c>
      <c r="K381" s="7" t="s">
        <v>583</v>
      </c>
      <c r="L381" s="9" t="n">
        <v>90000</v>
      </c>
      <c r="M381" s="9" t="n">
        <v>180000</v>
      </c>
      <c r="N381" s="9" t="n">
        <v>240000</v>
      </c>
      <c r="O381" s="7"/>
      <c r="P381" s="7"/>
      <c r="Q381" s="7" t="s">
        <v>155</v>
      </c>
      <c r="R381" s="7" t="s">
        <v>2501</v>
      </c>
      <c r="S381" s="7"/>
      <c r="T381" s="7"/>
      <c r="U381" s="10" t="n">
        <v>0.15</v>
      </c>
      <c r="V381" s="7"/>
      <c r="W381" s="7"/>
      <c r="X381" s="7" t="s">
        <v>2502</v>
      </c>
      <c r="Y381" s="12" t="b">
        <f aca="false">FALSE()</f>
        <v>0</v>
      </c>
      <c r="Z381" s="7" t="s">
        <v>2417</v>
      </c>
      <c r="AA381" s="7"/>
      <c r="AB381" s="8"/>
      <c r="AC381" s="6"/>
      <c r="AD381" s="6" t="n">
        <v>3</v>
      </c>
      <c r="AE381" s="6" t="n">
        <v>3</v>
      </c>
      <c r="AF381" s="7" t="s">
        <v>583</v>
      </c>
      <c r="AG381" s="7" t="s">
        <v>88</v>
      </c>
      <c r="AH381" s="7"/>
      <c r="AI381" s="7"/>
      <c r="AJ381" s="7"/>
      <c r="AK381" s="7"/>
      <c r="AL381" s="7" t="s">
        <v>2503</v>
      </c>
      <c r="AM381" s="7"/>
      <c r="AN381" s="7"/>
      <c r="AO381" s="7"/>
      <c r="AP381" s="7"/>
      <c r="AQ381" s="8"/>
      <c r="AR381" s="9" t="n">
        <f aca="false">IFERROR(VLOOKUP($X381,Lotes!$A:$E,5,FALSE())*$U381,"")</f>
        <v>90000</v>
      </c>
      <c r="AS381" s="9" t="n">
        <f aca="false">IF($L381="","",$L381*2.6)</f>
        <v>234000</v>
      </c>
      <c r="AT381" s="9" t="n">
        <v>2638655.462</v>
      </c>
      <c r="AU381" s="9" t="n">
        <v>180000</v>
      </c>
      <c r="AV381" s="9" t="n">
        <v>180000</v>
      </c>
      <c r="AW381" s="9" t="n">
        <v>0</v>
      </c>
      <c r="AX381" s="7" t="s">
        <v>109</v>
      </c>
      <c r="AY381" s="7" t="s">
        <v>575</v>
      </c>
      <c r="AZ381" s="7"/>
      <c r="BA381" s="7" t="s">
        <v>2504</v>
      </c>
      <c r="BB381" s="7" t="s">
        <v>2505</v>
      </c>
      <c r="BC381" s="11" t="s">
        <v>2506</v>
      </c>
      <c r="BD381" s="7" t="s">
        <v>2143</v>
      </c>
      <c r="BE381" s="11"/>
    </row>
    <row r="382" customFormat="false" ht="15" hidden="false" customHeight="false" outlineLevel="0" collapsed="false">
      <c r="A382" s="6" t="n">
        <v>382</v>
      </c>
      <c r="B382" s="7"/>
      <c r="C382" s="7" t="s">
        <v>2507</v>
      </c>
      <c r="D382" s="8" t="n">
        <v>0.18</v>
      </c>
      <c r="E382" s="7" t="s">
        <v>403</v>
      </c>
      <c r="F382" s="7" t="s">
        <v>86</v>
      </c>
      <c r="G382" s="6" t="n">
        <v>5</v>
      </c>
      <c r="H382" s="7" t="s">
        <v>101</v>
      </c>
      <c r="I382" s="7" t="s">
        <v>303</v>
      </c>
      <c r="J382" s="7" t="s">
        <v>1706</v>
      </c>
      <c r="K382" s="7" t="s">
        <v>583</v>
      </c>
      <c r="L382" s="9" t="n">
        <v>300000</v>
      </c>
      <c r="M382" s="9" t="n">
        <v>600000</v>
      </c>
      <c r="N382" s="9" t="n">
        <v>900000</v>
      </c>
      <c r="O382" s="7"/>
      <c r="P382" s="7"/>
      <c r="Q382" s="7" t="s">
        <v>155</v>
      </c>
      <c r="R382" s="7" t="s">
        <v>2508</v>
      </c>
      <c r="S382" s="7"/>
      <c r="T382" s="7"/>
      <c r="U382" s="10" t="n">
        <v>0.5</v>
      </c>
      <c r="V382" s="7"/>
      <c r="W382" s="7"/>
      <c r="X382" s="7" t="s">
        <v>2502</v>
      </c>
      <c r="Y382" s="12" t="b">
        <f aca="false">TRUE()</f>
        <v>1</v>
      </c>
      <c r="Z382" s="7" t="s">
        <v>2417</v>
      </c>
      <c r="AA382" s="7"/>
      <c r="AB382" s="8"/>
      <c r="AC382" s="6"/>
      <c r="AD382" s="6" t="n">
        <v>3</v>
      </c>
      <c r="AE382" s="6" t="n">
        <v>3</v>
      </c>
      <c r="AF382" s="7" t="s">
        <v>583</v>
      </c>
      <c r="AG382" s="7" t="s">
        <v>88</v>
      </c>
      <c r="AH382" s="7"/>
      <c r="AI382" s="7"/>
      <c r="AJ382" s="7"/>
      <c r="AK382" s="7"/>
      <c r="AL382" s="7" t="s">
        <v>2509</v>
      </c>
      <c r="AM382" s="7"/>
      <c r="AN382" s="7"/>
      <c r="AO382" s="7"/>
      <c r="AP382" s="7"/>
      <c r="AQ382" s="8"/>
      <c r="AR382" s="9" t="n">
        <f aca="false">IFERROR(VLOOKUP($X382,Lotes!$A:$E,5,FALSE())*$U382,"")</f>
        <v>300000</v>
      </c>
      <c r="AS382" s="9" t="n">
        <f aca="false">IF($L382="","",$L382*2.6)</f>
        <v>780000</v>
      </c>
      <c r="AT382" s="9" t="n">
        <v>2710084.034</v>
      </c>
      <c r="AU382" s="9" t="n">
        <v>600000</v>
      </c>
      <c r="AV382" s="9" t="n">
        <v>600000</v>
      </c>
      <c r="AW382" s="9" t="n">
        <v>0</v>
      </c>
      <c r="AX382" s="7" t="s">
        <v>109</v>
      </c>
      <c r="AY382" s="7" t="s">
        <v>575</v>
      </c>
      <c r="AZ382" s="7"/>
      <c r="BA382" s="7" t="s">
        <v>2510</v>
      </c>
      <c r="BB382" s="7" t="s">
        <v>2511</v>
      </c>
      <c r="BC382" s="11" t="s">
        <v>2512</v>
      </c>
      <c r="BD382" s="7" t="s">
        <v>2143</v>
      </c>
      <c r="BE382" s="11"/>
    </row>
    <row r="383" customFormat="false" ht="15" hidden="false" customHeight="false" outlineLevel="0" collapsed="false">
      <c r="A383" s="6" t="n">
        <v>383</v>
      </c>
      <c r="B383" s="7"/>
      <c r="C383" s="7" t="s">
        <v>2513</v>
      </c>
      <c r="D383" s="8" t="n">
        <v>0.17</v>
      </c>
      <c r="E383" s="7" t="s">
        <v>403</v>
      </c>
      <c r="F383" s="7" t="s">
        <v>270</v>
      </c>
      <c r="G383" s="6" t="n">
        <v>5</v>
      </c>
      <c r="H383" s="7" t="s">
        <v>101</v>
      </c>
      <c r="I383" s="7" t="s">
        <v>303</v>
      </c>
      <c r="J383" s="7" t="s">
        <v>1706</v>
      </c>
      <c r="K383" s="7" t="s">
        <v>583</v>
      </c>
      <c r="L383" s="9" t="n">
        <v>210000</v>
      </c>
      <c r="M383" s="9" t="n">
        <v>420000</v>
      </c>
      <c r="N383" s="9" t="n">
        <v>630000</v>
      </c>
      <c r="O383" s="7"/>
      <c r="P383" s="7"/>
      <c r="Q383" s="7" t="s">
        <v>155</v>
      </c>
      <c r="R383" s="7" t="s">
        <v>2514</v>
      </c>
      <c r="S383" s="7"/>
      <c r="T383" s="7"/>
      <c r="U383" s="10" t="n">
        <v>0.35</v>
      </c>
      <c r="V383" s="7"/>
      <c r="W383" s="7"/>
      <c r="X383" s="7" t="s">
        <v>2502</v>
      </c>
      <c r="Y383" s="12" t="b">
        <f aca="false">TRUE()</f>
        <v>1</v>
      </c>
      <c r="Z383" s="7" t="s">
        <v>2417</v>
      </c>
      <c r="AA383" s="7"/>
      <c r="AB383" s="8"/>
      <c r="AC383" s="6"/>
      <c r="AD383" s="6" t="n">
        <v>3</v>
      </c>
      <c r="AE383" s="6" t="n">
        <v>3</v>
      </c>
      <c r="AF383" s="7" t="s">
        <v>583</v>
      </c>
      <c r="AG383" s="7" t="s">
        <v>88</v>
      </c>
      <c r="AH383" s="7"/>
      <c r="AI383" s="7"/>
      <c r="AJ383" s="7"/>
      <c r="AK383" s="7"/>
      <c r="AL383" s="7" t="s">
        <v>2515</v>
      </c>
      <c r="AM383" s="7"/>
      <c r="AN383" s="7"/>
      <c r="AO383" s="7"/>
      <c r="AP383" s="7"/>
      <c r="AQ383" s="8"/>
      <c r="AR383" s="9" t="n">
        <f aca="false">IFERROR(VLOOKUP($X383,Lotes!$A:$E,5,FALSE())*$U383,"")</f>
        <v>210000</v>
      </c>
      <c r="AS383" s="9" t="n">
        <f aca="false">IF($L383="","",$L383*2.6)</f>
        <v>546000</v>
      </c>
      <c r="AT383" s="9" t="n">
        <v>2652941.176</v>
      </c>
      <c r="AU383" s="9" t="n">
        <v>420000</v>
      </c>
      <c r="AV383" s="9" t="n">
        <v>420000</v>
      </c>
      <c r="AW383" s="9" t="n">
        <v>420000</v>
      </c>
      <c r="AX383" s="7" t="s">
        <v>159</v>
      </c>
      <c r="AY383" s="7" t="s">
        <v>160</v>
      </c>
      <c r="AZ383" s="7"/>
      <c r="BA383" s="7" t="s">
        <v>2516</v>
      </c>
      <c r="BB383" s="7" t="s">
        <v>2517</v>
      </c>
      <c r="BC383" s="11" t="s">
        <v>2518</v>
      </c>
      <c r="BD383" s="7" t="s">
        <v>2143</v>
      </c>
      <c r="BE383" s="11"/>
    </row>
    <row r="384" customFormat="false" ht="15" hidden="false" customHeight="false" outlineLevel="0" collapsed="false">
      <c r="A384" s="6" t="n">
        <v>384</v>
      </c>
      <c r="B384" s="7"/>
      <c r="C384" s="7" t="s">
        <v>2519</v>
      </c>
      <c r="D384" s="8" t="n">
        <v>0.22</v>
      </c>
      <c r="E384" s="7"/>
      <c r="F384" s="7"/>
      <c r="G384" s="6" t="n">
        <v>1</v>
      </c>
      <c r="H384" s="7"/>
      <c r="I384" s="7"/>
      <c r="J384" s="7"/>
      <c r="K384" s="7"/>
      <c r="L384" s="9" t="n">
        <v>550000</v>
      </c>
      <c r="M384" s="9" t="n">
        <v>1300500</v>
      </c>
      <c r="N384" s="9" t="n">
        <v>1925000</v>
      </c>
      <c r="O384" s="7"/>
      <c r="P384" s="7"/>
      <c r="Q384" s="7" t="s">
        <v>155</v>
      </c>
      <c r="R384" s="7" t="s">
        <v>2520</v>
      </c>
      <c r="S384" s="7"/>
      <c r="T384" s="7"/>
      <c r="U384" s="10" t="n">
        <v>1</v>
      </c>
      <c r="V384" s="7"/>
      <c r="W384" s="7"/>
      <c r="X384" s="7" t="s">
        <v>2521</v>
      </c>
      <c r="Y384" s="12" t="b">
        <f aca="false">FALSE()</f>
        <v>0</v>
      </c>
      <c r="Z384" s="7" t="s">
        <v>2417</v>
      </c>
      <c r="AA384" s="7"/>
      <c r="AB384" s="8"/>
      <c r="AC384" s="6"/>
      <c r="AD384" s="6"/>
      <c r="AE384" s="6"/>
      <c r="AF384" s="7"/>
      <c r="AG384" s="7" t="s">
        <v>2398</v>
      </c>
      <c r="AH384" s="7" t="s">
        <v>2406</v>
      </c>
      <c r="AI384" s="7" t="s">
        <v>2522</v>
      </c>
      <c r="AJ384" s="7" t="s">
        <v>2389</v>
      </c>
      <c r="AK384" s="7"/>
      <c r="AL384" s="7" t="s">
        <v>2523</v>
      </c>
      <c r="AM384" s="7"/>
      <c r="AN384" s="7"/>
      <c r="AO384" s="7"/>
      <c r="AP384" s="7"/>
      <c r="AQ384" s="8"/>
      <c r="AR384" s="9" t="n">
        <f aca="false">IFERROR(VLOOKUP($X384,Lotes!$A:$E,5,FALSE())*$U384,"")</f>
        <v>550000</v>
      </c>
      <c r="AS384" s="9" t="n">
        <f aca="false">IF($L384="","",$L384*2.6)</f>
        <v>1430000</v>
      </c>
      <c r="AT384" s="9"/>
      <c r="AU384" s="9" t="n">
        <v>850000</v>
      </c>
      <c r="AV384" s="9" t="n">
        <v>680000</v>
      </c>
      <c r="AW384" s="9" t="n">
        <v>0</v>
      </c>
      <c r="AX384" s="7" t="s">
        <v>109</v>
      </c>
      <c r="AY384" s="7" t="s">
        <v>94</v>
      </c>
      <c r="AZ384" s="7"/>
      <c r="BA384" s="7" t="s">
        <v>2524</v>
      </c>
      <c r="BB384" s="7" t="s">
        <v>2525</v>
      </c>
      <c r="BC384" s="11" t="s">
        <v>2526</v>
      </c>
      <c r="BD384" s="7" t="s">
        <v>2077</v>
      </c>
      <c r="BE384" s="11" t="s">
        <v>2300</v>
      </c>
    </row>
    <row r="385" customFormat="false" ht="15" hidden="false" customHeight="false" outlineLevel="0" collapsed="false">
      <c r="A385" s="6" t="n">
        <v>385</v>
      </c>
      <c r="B385" s="7"/>
      <c r="C385" s="7" t="s">
        <v>2527</v>
      </c>
      <c r="D385" s="8" t="n">
        <v>0.8</v>
      </c>
      <c r="E385" s="7"/>
      <c r="F385" s="7"/>
      <c r="G385" s="6" t="n">
        <v>1</v>
      </c>
      <c r="H385" s="7"/>
      <c r="I385" s="7"/>
      <c r="J385" s="7"/>
      <c r="K385" s="7"/>
      <c r="L385" s="9" t="n">
        <v>120000</v>
      </c>
      <c r="M385" s="9" t="n">
        <v>360000</v>
      </c>
      <c r="N385" s="9" t="n">
        <v>480000</v>
      </c>
      <c r="O385" s="7"/>
      <c r="P385" s="7"/>
      <c r="Q385" s="7" t="s">
        <v>155</v>
      </c>
      <c r="R385" s="7" t="s">
        <v>2528</v>
      </c>
      <c r="S385" s="7"/>
      <c r="T385" s="7"/>
      <c r="U385" s="10" t="n">
        <v>1</v>
      </c>
      <c r="V385" s="7"/>
      <c r="W385" s="7"/>
      <c r="X385" s="7" t="s">
        <v>2529</v>
      </c>
      <c r="Y385" s="12" t="b">
        <f aca="false">TRUE()</f>
        <v>1</v>
      </c>
      <c r="Z385" s="7" t="s">
        <v>2090</v>
      </c>
      <c r="AA385" s="7" t="s">
        <v>2530</v>
      </c>
      <c r="AB385" s="8"/>
      <c r="AC385" s="6"/>
      <c r="AD385" s="6"/>
      <c r="AE385" s="6"/>
      <c r="AF385" s="7"/>
      <c r="AG385" s="7" t="s">
        <v>2398</v>
      </c>
      <c r="AH385" s="7" t="s">
        <v>2530</v>
      </c>
      <c r="AI385" s="7" t="s">
        <v>2522</v>
      </c>
      <c r="AJ385" s="7" t="s">
        <v>2389</v>
      </c>
      <c r="AK385" s="7"/>
      <c r="AL385" s="7" t="s">
        <v>2531</v>
      </c>
      <c r="AM385" s="7"/>
      <c r="AN385" s="7"/>
      <c r="AO385" s="7"/>
      <c r="AP385" s="7"/>
      <c r="AQ385" s="8"/>
      <c r="AR385" s="9" t="n">
        <f aca="false">IFERROR(VLOOKUP($X385,Lotes!$A:$E,5,FALSE())*$U385,"")</f>
        <v>120000</v>
      </c>
      <c r="AS385" s="9" t="n">
        <f aca="false">IF($L385="","",$L385*2.6)</f>
        <v>312000</v>
      </c>
      <c r="AT385" s="9"/>
      <c r="AU385" s="9" t="n">
        <v>360000</v>
      </c>
      <c r="AV385" s="9" t="n">
        <v>360000</v>
      </c>
      <c r="AW385" s="9" t="n">
        <v>360000</v>
      </c>
      <c r="AX385" s="7" t="s">
        <v>159</v>
      </c>
      <c r="AY385" s="7" t="s">
        <v>160</v>
      </c>
      <c r="AZ385" s="7"/>
      <c r="BA385" s="7" t="s">
        <v>2532</v>
      </c>
      <c r="BB385" s="7" t="s">
        <v>2533</v>
      </c>
      <c r="BC385" s="11" t="s">
        <v>2534</v>
      </c>
      <c r="BD385" s="7" t="s">
        <v>2077</v>
      </c>
      <c r="BE385" s="11" t="s">
        <v>2300</v>
      </c>
    </row>
    <row r="386" customFormat="false" ht="68.65" hidden="false" customHeight="false" outlineLevel="0" collapsed="false">
      <c r="A386" s="6" t="n">
        <v>386</v>
      </c>
      <c r="B386" s="7"/>
      <c r="C386" s="7" t="s">
        <v>2535</v>
      </c>
      <c r="D386" s="8" t="n">
        <v>0.8</v>
      </c>
      <c r="E386" s="7"/>
      <c r="F386" s="7" t="s">
        <v>270</v>
      </c>
      <c r="G386" s="6" t="n">
        <v>1</v>
      </c>
      <c r="H386" s="7"/>
      <c r="I386" s="7"/>
      <c r="J386" s="7"/>
      <c r="K386" s="7" t="s">
        <v>353</v>
      </c>
      <c r="L386" s="9" t="n">
        <v>71400</v>
      </c>
      <c r="M386" s="9" t="n">
        <v>250000</v>
      </c>
      <c r="N386" s="9" t="n">
        <v>214000</v>
      </c>
      <c r="O386" s="7"/>
      <c r="P386" s="7" t="s">
        <v>1730</v>
      </c>
      <c r="Q386" s="7" t="s">
        <v>90</v>
      </c>
      <c r="R386" s="7" t="s">
        <v>2536</v>
      </c>
      <c r="S386" s="7"/>
      <c r="T386" s="7"/>
      <c r="U386" s="10" t="n">
        <v>1</v>
      </c>
      <c r="V386" s="7"/>
      <c r="W386" s="7"/>
      <c r="X386" s="7" t="s">
        <v>2537</v>
      </c>
      <c r="Y386" s="12" t="b">
        <f aca="false">TRUE()</f>
        <v>1</v>
      </c>
      <c r="Z386" s="7" t="s">
        <v>2090</v>
      </c>
      <c r="AA386" s="7" t="s">
        <v>2538</v>
      </c>
      <c r="AB386" s="8"/>
      <c r="AC386" s="6"/>
      <c r="AD386" s="6"/>
      <c r="AE386" s="6"/>
      <c r="AF386" s="7" t="s">
        <v>583</v>
      </c>
      <c r="AG386" s="7" t="s">
        <v>2398</v>
      </c>
      <c r="AH386" s="7" t="s">
        <v>2406</v>
      </c>
      <c r="AI386" s="7" t="s">
        <v>2522</v>
      </c>
      <c r="AJ386" s="7" t="s">
        <v>2389</v>
      </c>
      <c r="AK386" s="7"/>
      <c r="AL386" s="7" t="s">
        <v>2539</v>
      </c>
      <c r="AM386" s="7"/>
      <c r="AN386" s="7"/>
      <c r="AO386" s="7"/>
      <c r="AP386" s="7"/>
      <c r="AQ386" s="8" t="n">
        <v>1.23</v>
      </c>
      <c r="AR386" s="9" t="n">
        <f aca="false">IFERROR(VLOOKUP($X386,Lotes!$A:$E,5,FALSE())*$U386,"")</f>
        <v>71400</v>
      </c>
      <c r="AS386" s="9" t="n">
        <f aca="false">IF($L386="","",$L386*2.6)</f>
        <v>185640</v>
      </c>
      <c r="AT386" s="9"/>
      <c r="AU386" s="9" t="n">
        <v>250000</v>
      </c>
      <c r="AV386" s="9" t="n">
        <v>250000</v>
      </c>
      <c r="AW386" s="9" t="n">
        <v>250000</v>
      </c>
      <c r="AX386" s="7" t="s">
        <v>159</v>
      </c>
      <c r="AY386" s="7" t="s">
        <v>160</v>
      </c>
      <c r="AZ386" s="7"/>
      <c r="BA386" s="7" t="s">
        <v>2540</v>
      </c>
      <c r="BB386" s="7" t="s">
        <v>2541</v>
      </c>
      <c r="BC386" s="11" t="s">
        <v>2542</v>
      </c>
      <c r="BD386" s="7" t="s">
        <v>2143</v>
      </c>
      <c r="BE386" s="11" t="s">
        <v>2543</v>
      </c>
    </row>
    <row r="387" customFormat="false" ht="23.85" hidden="false" customHeight="false" outlineLevel="0" collapsed="false">
      <c r="A387" s="6" t="n">
        <v>387</v>
      </c>
      <c r="B387" s="7"/>
      <c r="C387" s="7" t="s">
        <v>2544</v>
      </c>
      <c r="D387" s="8"/>
      <c r="E387" s="7"/>
      <c r="F387" s="7" t="s">
        <v>148</v>
      </c>
      <c r="G387" s="6" t="n">
        <v>1</v>
      </c>
      <c r="H387" s="7"/>
      <c r="I387" s="7"/>
      <c r="J387" s="7"/>
      <c r="K387" s="7" t="s">
        <v>2545</v>
      </c>
      <c r="L387" s="9" t="n">
        <v>100000</v>
      </c>
      <c r="M387" s="9" t="n">
        <v>270000</v>
      </c>
      <c r="N387" s="9" t="n">
        <v>350000</v>
      </c>
      <c r="O387" s="7"/>
      <c r="P387" s="7"/>
      <c r="Q387" s="7" t="s">
        <v>155</v>
      </c>
      <c r="R387" s="7" t="s">
        <v>2546</v>
      </c>
      <c r="S387" s="7"/>
      <c r="T387" s="7"/>
      <c r="U387" s="10" t="n">
        <v>0.1111</v>
      </c>
      <c r="V387" s="7"/>
      <c r="W387" s="7"/>
      <c r="X387" s="7" t="s">
        <v>2396</v>
      </c>
      <c r="Y387" s="12" t="b">
        <f aca="false">TRUE()</f>
        <v>1</v>
      </c>
      <c r="Z387" s="7" t="s">
        <v>2090</v>
      </c>
      <c r="AA387" s="7"/>
      <c r="AB387" s="8"/>
      <c r="AC387" s="6"/>
      <c r="AD387" s="6"/>
      <c r="AE387" s="6"/>
      <c r="AF387" s="7" t="s">
        <v>2547</v>
      </c>
      <c r="AG387" s="7" t="s">
        <v>2398</v>
      </c>
      <c r="AH387" s="7" t="s">
        <v>907</v>
      </c>
      <c r="AI387" s="7" t="s">
        <v>2522</v>
      </c>
      <c r="AJ387" s="7" t="s">
        <v>2389</v>
      </c>
      <c r="AK387" s="7"/>
      <c r="AL387" s="7" t="s">
        <v>2548</v>
      </c>
      <c r="AM387" s="7" t="s">
        <v>2548</v>
      </c>
      <c r="AN387" s="7"/>
      <c r="AO387" s="7"/>
      <c r="AP387" s="7"/>
      <c r="AQ387" s="8"/>
      <c r="AR387" s="9" t="n">
        <f aca="false">IFERROR(VLOOKUP($X387,Lotes!$A:$E,5,FALSE())*$U387,"")</f>
        <v>99990</v>
      </c>
      <c r="AS387" s="9" t="n">
        <f aca="false">IF($L387="","",$L387*2.6)</f>
        <v>260000</v>
      </c>
      <c r="AT387" s="9" t="n">
        <v>5292673.96</v>
      </c>
      <c r="AU387" s="9" t="n">
        <v>270000</v>
      </c>
      <c r="AV387" s="9" t="n">
        <v>270000</v>
      </c>
      <c r="AW387" s="9" t="n">
        <v>270000</v>
      </c>
      <c r="AX387" s="7" t="s">
        <v>159</v>
      </c>
      <c r="AY387" s="7" t="s">
        <v>160</v>
      </c>
      <c r="AZ387" s="7"/>
      <c r="BA387" s="7" t="s">
        <v>2549</v>
      </c>
      <c r="BB387" s="7" t="s">
        <v>2550</v>
      </c>
      <c r="BC387" s="11" t="s">
        <v>2551</v>
      </c>
      <c r="BD387" s="7" t="s">
        <v>2143</v>
      </c>
      <c r="BE387" s="11" t="s">
        <v>2300</v>
      </c>
    </row>
    <row r="388" customFormat="false" ht="23.85" hidden="false" customHeight="false" outlineLevel="0" collapsed="false">
      <c r="A388" s="6" t="n">
        <v>388</v>
      </c>
      <c r="B388" s="7"/>
      <c r="C388" s="7" t="s">
        <v>2552</v>
      </c>
      <c r="D388" s="8"/>
      <c r="E388" s="7"/>
      <c r="F388" s="7" t="s">
        <v>148</v>
      </c>
      <c r="G388" s="6" t="n">
        <v>1</v>
      </c>
      <c r="H388" s="7"/>
      <c r="I388" s="7"/>
      <c r="J388" s="7"/>
      <c r="K388" s="7" t="s">
        <v>2545</v>
      </c>
      <c r="L388" s="9" t="n">
        <v>100000</v>
      </c>
      <c r="M388" s="9" t="n">
        <v>300000</v>
      </c>
      <c r="N388" s="9" t="n">
        <v>400000</v>
      </c>
      <c r="O388" s="7"/>
      <c r="P388" s="7"/>
      <c r="Q388" s="7" t="s">
        <v>155</v>
      </c>
      <c r="R388" s="7" t="s">
        <v>2553</v>
      </c>
      <c r="S388" s="7"/>
      <c r="T388" s="7"/>
      <c r="U388" s="10" t="n">
        <v>0.1111</v>
      </c>
      <c r="V388" s="7"/>
      <c r="W388" s="7"/>
      <c r="X388" s="7" t="s">
        <v>2396</v>
      </c>
      <c r="Y388" s="12" t="b">
        <f aca="false">TRUE()</f>
        <v>1</v>
      </c>
      <c r="Z388" s="7" t="s">
        <v>2090</v>
      </c>
      <c r="AA388" s="7"/>
      <c r="AB388" s="8"/>
      <c r="AC388" s="6"/>
      <c r="AD388" s="6"/>
      <c r="AE388" s="6"/>
      <c r="AF388" s="7" t="s">
        <v>1961</v>
      </c>
      <c r="AG388" s="7" t="s">
        <v>2398</v>
      </c>
      <c r="AH388" s="7" t="s">
        <v>907</v>
      </c>
      <c r="AI388" s="7" t="s">
        <v>2522</v>
      </c>
      <c r="AJ388" s="7" t="s">
        <v>2389</v>
      </c>
      <c r="AK388" s="7"/>
      <c r="AL388" s="7"/>
      <c r="AM388" s="7"/>
      <c r="AN388" s="7"/>
      <c r="AO388" s="7"/>
      <c r="AP388" s="7"/>
      <c r="AQ388" s="8"/>
      <c r="AR388" s="9" t="n">
        <f aca="false">IFERROR(VLOOKUP($X388,Lotes!$A:$E,5,FALSE())*$U388,"")</f>
        <v>99990</v>
      </c>
      <c r="AS388" s="9" t="n">
        <f aca="false">IF($L388="","",$L388*2.6)</f>
        <v>260000</v>
      </c>
      <c r="AT388" s="9" t="n">
        <v>2610084.034</v>
      </c>
      <c r="AU388" s="9" t="n">
        <v>300000</v>
      </c>
      <c r="AV388" s="9" t="n">
        <v>300000</v>
      </c>
      <c r="AW388" s="9" t="n">
        <v>300000</v>
      </c>
      <c r="AX388" s="7" t="s">
        <v>159</v>
      </c>
      <c r="AY388" s="7" t="s">
        <v>160</v>
      </c>
      <c r="AZ388" s="7"/>
      <c r="BA388" s="7" t="s">
        <v>2554</v>
      </c>
      <c r="BB388" s="7" t="s">
        <v>2555</v>
      </c>
      <c r="BC388" s="11" t="s">
        <v>2556</v>
      </c>
      <c r="BD388" s="7" t="s">
        <v>2143</v>
      </c>
      <c r="BE388" s="11" t="s">
        <v>2300</v>
      </c>
    </row>
    <row r="389" customFormat="false" ht="23.85" hidden="false" customHeight="false" outlineLevel="0" collapsed="false">
      <c r="A389" s="6" t="n">
        <v>389</v>
      </c>
      <c r="B389" s="7"/>
      <c r="C389" s="7" t="s">
        <v>2557</v>
      </c>
      <c r="D389" s="8"/>
      <c r="E389" s="7"/>
      <c r="F389" s="7" t="s">
        <v>148</v>
      </c>
      <c r="G389" s="6" t="n">
        <v>1</v>
      </c>
      <c r="H389" s="7"/>
      <c r="I389" s="7"/>
      <c r="J389" s="7"/>
      <c r="K389" s="7" t="s">
        <v>2545</v>
      </c>
      <c r="L389" s="9" t="n">
        <v>100000</v>
      </c>
      <c r="M389" s="9" t="n">
        <v>300000</v>
      </c>
      <c r="N389" s="9" t="n">
        <v>400000</v>
      </c>
      <c r="O389" s="7"/>
      <c r="P389" s="7"/>
      <c r="Q389" s="7" t="s">
        <v>155</v>
      </c>
      <c r="R389" s="7" t="s">
        <v>2558</v>
      </c>
      <c r="S389" s="7"/>
      <c r="T389" s="7"/>
      <c r="U389" s="10" t="n">
        <v>0.1111</v>
      </c>
      <c r="V389" s="7"/>
      <c r="W389" s="7"/>
      <c r="X389" s="7" t="s">
        <v>2396</v>
      </c>
      <c r="Y389" s="12" t="b">
        <f aca="false">TRUE()</f>
        <v>1</v>
      </c>
      <c r="Z389" s="7" t="s">
        <v>2090</v>
      </c>
      <c r="AA389" s="7"/>
      <c r="AB389" s="8"/>
      <c r="AC389" s="6"/>
      <c r="AD389" s="6"/>
      <c r="AE389" s="6"/>
      <c r="AF389" s="7" t="s">
        <v>158</v>
      </c>
      <c r="AG389" s="7" t="s">
        <v>2398</v>
      </c>
      <c r="AH389" s="7" t="s">
        <v>907</v>
      </c>
      <c r="AI389" s="7" t="s">
        <v>2522</v>
      </c>
      <c r="AJ389" s="7" t="s">
        <v>2389</v>
      </c>
      <c r="AK389" s="7"/>
      <c r="AL389" s="7"/>
      <c r="AM389" s="7"/>
      <c r="AN389" s="7"/>
      <c r="AO389" s="7"/>
      <c r="AP389" s="7"/>
      <c r="AQ389" s="8"/>
      <c r="AR389" s="9" t="n">
        <f aca="false">IFERROR(VLOOKUP($X389,Lotes!$A:$E,5,FALSE())*$U389,"")</f>
        <v>99990</v>
      </c>
      <c r="AS389" s="9" t="n">
        <f aca="false">IF($L389="","",$L389*2.6)</f>
        <v>260000</v>
      </c>
      <c r="AT389" s="9" t="n">
        <v>2654369.748</v>
      </c>
      <c r="AU389" s="9" t="n">
        <v>300000</v>
      </c>
      <c r="AV389" s="9" t="n">
        <v>300000</v>
      </c>
      <c r="AW389" s="9" t="n">
        <v>300000</v>
      </c>
      <c r="AX389" s="7" t="s">
        <v>159</v>
      </c>
      <c r="AY389" s="7" t="s">
        <v>160</v>
      </c>
      <c r="AZ389" s="7"/>
      <c r="BA389" s="7" t="s">
        <v>2559</v>
      </c>
      <c r="BB389" s="7" t="s">
        <v>2560</v>
      </c>
      <c r="BC389" s="11" t="s">
        <v>2561</v>
      </c>
      <c r="BD389" s="7" t="s">
        <v>2143</v>
      </c>
      <c r="BE389" s="11" t="s">
        <v>2300</v>
      </c>
    </row>
    <row r="390" customFormat="false" ht="23.85" hidden="false" customHeight="false" outlineLevel="0" collapsed="false">
      <c r="A390" s="6" t="n">
        <v>390</v>
      </c>
      <c r="B390" s="7"/>
      <c r="C390" s="7" t="s">
        <v>2562</v>
      </c>
      <c r="D390" s="8"/>
      <c r="E390" s="7"/>
      <c r="F390" s="7" t="s">
        <v>148</v>
      </c>
      <c r="G390" s="6" t="n">
        <v>1</v>
      </c>
      <c r="H390" s="7"/>
      <c r="I390" s="7"/>
      <c r="J390" s="7"/>
      <c r="K390" s="7" t="s">
        <v>2545</v>
      </c>
      <c r="L390" s="9" t="n">
        <v>100000</v>
      </c>
      <c r="M390" s="9"/>
      <c r="N390" s="9"/>
      <c r="O390" s="7"/>
      <c r="P390" s="7"/>
      <c r="Q390" s="7" t="s">
        <v>155</v>
      </c>
      <c r="R390" s="7" t="s">
        <v>2563</v>
      </c>
      <c r="S390" s="7"/>
      <c r="T390" s="7"/>
      <c r="U390" s="10" t="n">
        <v>0.1111</v>
      </c>
      <c r="V390" s="7"/>
      <c r="W390" s="7"/>
      <c r="X390" s="7" t="s">
        <v>2396</v>
      </c>
      <c r="Y390" s="12" t="b">
        <f aca="false">FALSE()</f>
        <v>0</v>
      </c>
      <c r="Z390" s="7" t="s">
        <v>2090</v>
      </c>
      <c r="AA390" s="7"/>
      <c r="AB390" s="8"/>
      <c r="AC390" s="6"/>
      <c r="AD390" s="6"/>
      <c r="AE390" s="6"/>
      <c r="AF390" s="7" t="s">
        <v>158</v>
      </c>
      <c r="AG390" s="7" t="s">
        <v>2398</v>
      </c>
      <c r="AH390" s="7" t="s">
        <v>907</v>
      </c>
      <c r="AI390" s="7" t="s">
        <v>2522</v>
      </c>
      <c r="AJ390" s="7" t="s">
        <v>2389</v>
      </c>
      <c r="AK390" s="7"/>
      <c r="AL390" s="7"/>
      <c r="AM390" s="7"/>
      <c r="AN390" s="7"/>
      <c r="AO390" s="7"/>
      <c r="AP390" s="7"/>
      <c r="AQ390" s="8"/>
      <c r="AR390" s="9" t="n">
        <f aca="false">IFERROR(VLOOKUP($X390,Lotes!$A:$E,5,FALSE())*$U390,"")</f>
        <v>99990</v>
      </c>
      <c r="AS390" s="9" t="n">
        <f aca="false">IF($L390="","",$L390*2.6)</f>
        <v>260000</v>
      </c>
      <c r="AT390" s="9" t="n">
        <v>2524369.748</v>
      </c>
      <c r="AU390" s="9"/>
      <c r="AV390" s="9" t="n">
        <v>0</v>
      </c>
      <c r="AW390" s="9" t="n">
        <v>0</v>
      </c>
      <c r="AX390" s="7" t="s">
        <v>159</v>
      </c>
      <c r="AY390" s="7" t="s">
        <v>160</v>
      </c>
      <c r="AZ390" s="7"/>
      <c r="BA390" s="7" t="s">
        <v>2564</v>
      </c>
      <c r="BB390" s="7" t="s">
        <v>2565</v>
      </c>
      <c r="BC390" s="11" t="s">
        <v>2566</v>
      </c>
      <c r="BD390" s="7" t="s">
        <v>2143</v>
      </c>
      <c r="BE390" s="11" t="s">
        <v>2300</v>
      </c>
    </row>
    <row r="391" customFormat="false" ht="15" hidden="false" customHeight="false" outlineLevel="0" collapsed="false">
      <c r="A391" s="6" t="n">
        <v>391</v>
      </c>
      <c r="B391" s="7"/>
      <c r="C391" s="7" t="s">
        <v>2567</v>
      </c>
      <c r="D391" s="8"/>
      <c r="E391" s="7"/>
      <c r="F391" s="7" t="s">
        <v>148</v>
      </c>
      <c r="G391" s="6" t="n">
        <v>1</v>
      </c>
      <c r="H391" s="7"/>
      <c r="I391" s="7"/>
      <c r="J391" s="7"/>
      <c r="K391" s="7" t="s">
        <v>2545</v>
      </c>
      <c r="L391" s="9" t="n">
        <v>100000</v>
      </c>
      <c r="M391" s="9" t="n">
        <v>285000</v>
      </c>
      <c r="N391" s="9" t="n">
        <v>400000</v>
      </c>
      <c r="O391" s="7"/>
      <c r="P391" s="7"/>
      <c r="Q391" s="7" t="s">
        <v>155</v>
      </c>
      <c r="R391" s="7" t="s">
        <v>2568</v>
      </c>
      <c r="S391" s="7"/>
      <c r="T391" s="7"/>
      <c r="U391" s="10" t="n">
        <v>0.1111</v>
      </c>
      <c r="V391" s="7"/>
      <c r="W391" s="7"/>
      <c r="X391" s="7" t="s">
        <v>2396</v>
      </c>
      <c r="Y391" s="12" t="b">
        <f aca="false">TRUE()</f>
        <v>1</v>
      </c>
      <c r="Z391" s="7" t="s">
        <v>2090</v>
      </c>
      <c r="AA391" s="7"/>
      <c r="AB391" s="8"/>
      <c r="AC391" s="6"/>
      <c r="AD391" s="6"/>
      <c r="AE391" s="6"/>
      <c r="AF391" s="7" t="s">
        <v>158</v>
      </c>
      <c r="AG391" s="7" t="s">
        <v>2398</v>
      </c>
      <c r="AH391" s="7" t="s">
        <v>907</v>
      </c>
      <c r="AI391" s="7" t="s">
        <v>2522</v>
      </c>
      <c r="AJ391" s="7" t="s">
        <v>2389</v>
      </c>
      <c r="AK391" s="7"/>
      <c r="AL391" s="7"/>
      <c r="AM391" s="7"/>
      <c r="AN391" s="7"/>
      <c r="AO391" s="7"/>
      <c r="AP391" s="7"/>
      <c r="AQ391" s="8"/>
      <c r="AR391" s="9" t="n">
        <f aca="false">IFERROR(VLOOKUP($X391,Lotes!$A:$E,5,FALSE())*$U391,"")</f>
        <v>99990</v>
      </c>
      <c r="AS391" s="9" t="n">
        <f aca="false">IF($L391="","",$L391*2.6)</f>
        <v>260000</v>
      </c>
      <c r="AT391" s="9" t="n">
        <v>3139994.748</v>
      </c>
      <c r="AU391" s="9" t="n">
        <v>285000</v>
      </c>
      <c r="AV391" s="9" t="n">
        <v>285000</v>
      </c>
      <c r="AW391" s="9" t="n">
        <v>285000</v>
      </c>
      <c r="AX391" s="7" t="s">
        <v>159</v>
      </c>
      <c r="AY391" s="7" t="s">
        <v>160</v>
      </c>
      <c r="AZ391" s="7"/>
      <c r="BA391" s="7" t="s">
        <v>2569</v>
      </c>
      <c r="BB391" s="7" t="s">
        <v>2570</v>
      </c>
      <c r="BC391" s="11" t="s">
        <v>2571</v>
      </c>
      <c r="BD391" s="7" t="s">
        <v>2143</v>
      </c>
      <c r="BE391" s="11" t="s">
        <v>2300</v>
      </c>
    </row>
    <row r="392" customFormat="false" ht="15" hidden="false" customHeight="false" outlineLevel="0" collapsed="false">
      <c r="A392" s="6" t="n">
        <v>392</v>
      </c>
      <c r="B392" s="7"/>
      <c r="C392" s="7" t="s">
        <v>2572</v>
      </c>
      <c r="D392" s="8"/>
      <c r="E392" s="7"/>
      <c r="F392" s="7" t="s">
        <v>148</v>
      </c>
      <c r="G392" s="6" t="n">
        <v>1</v>
      </c>
      <c r="H392" s="7"/>
      <c r="I392" s="7"/>
      <c r="J392" s="7"/>
      <c r="K392" s="7" t="s">
        <v>2545</v>
      </c>
      <c r="L392" s="9" t="n">
        <v>100000</v>
      </c>
      <c r="M392" s="9"/>
      <c r="N392" s="9"/>
      <c r="O392" s="7"/>
      <c r="P392" s="7"/>
      <c r="Q392" s="7" t="s">
        <v>155</v>
      </c>
      <c r="R392" s="7" t="s">
        <v>2573</v>
      </c>
      <c r="S392" s="7"/>
      <c r="T392" s="7"/>
      <c r="U392" s="10" t="n">
        <v>0.1111</v>
      </c>
      <c r="V392" s="7"/>
      <c r="W392" s="7"/>
      <c r="X392" s="7" t="s">
        <v>2396</v>
      </c>
      <c r="Y392" s="12" t="b">
        <f aca="false">FALSE()</f>
        <v>0</v>
      </c>
      <c r="Z392" s="7" t="s">
        <v>2090</v>
      </c>
      <c r="AA392" s="7"/>
      <c r="AB392" s="8"/>
      <c r="AC392" s="6"/>
      <c r="AD392" s="6"/>
      <c r="AE392" s="6"/>
      <c r="AF392" s="7" t="s">
        <v>158</v>
      </c>
      <c r="AG392" s="7" t="s">
        <v>2398</v>
      </c>
      <c r="AH392" s="7" t="s">
        <v>907</v>
      </c>
      <c r="AI392" s="7" t="s">
        <v>2522</v>
      </c>
      <c r="AJ392" s="7" t="s">
        <v>2389</v>
      </c>
      <c r="AK392" s="7"/>
      <c r="AL392" s="7"/>
      <c r="AM392" s="7"/>
      <c r="AN392" s="7"/>
      <c r="AO392" s="7"/>
      <c r="AP392" s="7"/>
      <c r="AQ392" s="8"/>
      <c r="AR392" s="9" t="n">
        <f aca="false">IFERROR(VLOOKUP($X392,Lotes!$A:$E,5,FALSE())*$U392,"")</f>
        <v>99990</v>
      </c>
      <c r="AS392" s="9" t="n">
        <f aca="false">IF($L392="","",$L392*2.6)</f>
        <v>260000</v>
      </c>
      <c r="AT392" s="9" t="n">
        <v>2825798.319</v>
      </c>
      <c r="AU392" s="9"/>
      <c r="AV392" s="9" t="n">
        <v>0</v>
      </c>
      <c r="AW392" s="9" t="n">
        <v>0</v>
      </c>
      <c r="AX392" s="7" t="s">
        <v>159</v>
      </c>
      <c r="AY392" s="7" t="s">
        <v>160</v>
      </c>
      <c r="AZ392" s="7"/>
      <c r="BA392" s="7" t="s">
        <v>2574</v>
      </c>
      <c r="BB392" s="7" t="s">
        <v>2575</v>
      </c>
      <c r="BC392" s="11" t="s">
        <v>2576</v>
      </c>
      <c r="BD392" s="7" t="s">
        <v>2143</v>
      </c>
      <c r="BE392" s="11" t="s">
        <v>2300</v>
      </c>
    </row>
    <row r="393" customFormat="false" ht="15" hidden="false" customHeight="false" outlineLevel="0" collapsed="false">
      <c r="A393" s="6" t="n">
        <v>393</v>
      </c>
      <c r="B393" s="7"/>
      <c r="C393" s="7" t="s">
        <v>2577</v>
      </c>
      <c r="D393" s="8"/>
      <c r="E393" s="7"/>
      <c r="F393" s="7" t="s">
        <v>148</v>
      </c>
      <c r="G393" s="6" t="n">
        <v>1</v>
      </c>
      <c r="H393" s="7"/>
      <c r="I393" s="7"/>
      <c r="J393" s="7"/>
      <c r="K393" s="7" t="s">
        <v>2545</v>
      </c>
      <c r="L393" s="9" t="n">
        <v>100000</v>
      </c>
      <c r="M393" s="9"/>
      <c r="N393" s="9"/>
      <c r="O393" s="7"/>
      <c r="P393" s="7"/>
      <c r="Q393" s="7" t="s">
        <v>155</v>
      </c>
      <c r="R393" s="7" t="s">
        <v>2578</v>
      </c>
      <c r="S393" s="7"/>
      <c r="T393" s="7"/>
      <c r="U393" s="10" t="n">
        <v>0.1111</v>
      </c>
      <c r="V393" s="7"/>
      <c r="W393" s="7"/>
      <c r="X393" s="7" t="s">
        <v>2396</v>
      </c>
      <c r="Y393" s="12" t="b">
        <f aca="false">FALSE()</f>
        <v>0</v>
      </c>
      <c r="Z393" s="7" t="s">
        <v>2090</v>
      </c>
      <c r="AA393" s="7"/>
      <c r="AB393" s="8"/>
      <c r="AC393" s="6"/>
      <c r="AD393" s="6"/>
      <c r="AE393" s="6"/>
      <c r="AF393" s="7" t="s">
        <v>158</v>
      </c>
      <c r="AG393" s="7" t="s">
        <v>2398</v>
      </c>
      <c r="AH393" s="7" t="s">
        <v>907</v>
      </c>
      <c r="AI393" s="7" t="s">
        <v>2522</v>
      </c>
      <c r="AJ393" s="7" t="s">
        <v>2389</v>
      </c>
      <c r="AK393" s="7"/>
      <c r="AL393" s="7"/>
      <c r="AM393" s="7"/>
      <c r="AN393" s="7"/>
      <c r="AO393" s="7"/>
      <c r="AP393" s="7"/>
      <c r="AQ393" s="8"/>
      <c r="AR393" s="9" t="n">
        <f aca="false">IFERROR(VLOOKUP($X393,Lotes!$A:$E,5,FALSE())*$U393,"")</f>
        <v>99990</v>
      </c>
      <c r="AS393" s="9" t="n">
        <f aca="false">IF($L393="","",$L393*2.6)</f>
        <v>260000</v>
      </c>
      <c r="AT393" s="9" t="n">
        <v>2651512.605</v>
      </c>
      <c r="AU393" s="9"/>
      <c r="AV393" s="9" t="n">
        <v>0</v>
      </c>
      <c r="AW393" s="9" t="n">
        <v>0</v>
      </c>
      <c r="AX393" s="7" t="s">
        <v>159</v>
      </c>
      <c r="AY393" s="7" t="s">
        <v>160</v>
      </c>
      <c r="AZ393" s="7"/>
      <c r="BA393" s="7" t="s">
        <v>2579</v>
      </c>
      <c r="BB393" s="7" t="s">
        <v>2580</v>
      </c>
      <c r="BC393" s="11" t="s">
        <v>2581</v>
      </c>
      <c r="BD393" s="7" t="s">
        <v>2143</v>
      </c>
      <c r="BE393" s="11" t="s">
        <v>2300</v>
      </c>
    </row>
    <row r="394" customFormat="false" ht="15" hidden="false" customHeight="false" outlineLevel="0" collapsed="false">
      <c r="A394" s="6" t="n">
        <v>394</v>
      </c>
      <c r="B394" s="7"/>
      <c r="C394" s="7" t="s">
        <v>2582</v>
      </c>
      <c r="D394" s="8"/>
      <c r="E394" s="7"/>
      <c r="F394" s="7" t="s">
        <v>148</v>
      </c>
      <c r="G394" s="6" t="n">
        <v>1</v>
      </c>
      <c r="H394" s="7"/>
      <c r="I394" s="7"/>
      <c r="J394" s="7"/>
      <c r="K394" s="7" t="s">
        <v>2545</v>
      </c>
      <c r="L394" s="9" t="n">
        <v>100000</v>
      </c>
      <c r="M394" s="9"/>
      <c r="N394" s="9"/>
      <c r="O394" s="7"/>
      <c r="P394" s="7"/>
      <c r="Q394" s="7" t="s">
        <v>90</v>
      </c>
      <c r="R394" s="7" t="s">
        <v>2583</v>
      </c>
      <c r="S394" s="7"/>
      <c r="T394" s="7" t="s">
        <v>208</v>
      </c>
      <c r="U394" s="10" t="n">
        <v>0.1111</v>
      </c>
      <c r="V394" s="7"/>
      <c r="W394" s="7"/>
      <c r="X394" s="7" t="s">
        <v>2396</v>
      </c>
      <c r="Y394" s="12" t="b">
        <f aca="false">FALSE()</f>
        <v>0</v>
      </c>
      <c r="Z394" s="7" t="s">
        <v>2090</v>
      </c>
      <c r="AA394" s="7"/>
      <c r="AB394" s="8"/>
      <c r="AC394" s="6"/>
      <c r="AD394" s="6"/>
      <c r="AE394" s="6"/>
      <c r="AF394" s="7" t="s">
        <v>1961</v>
      </c>
      <c r="AG394" s="7" t="s">
        <v>2398</v>
      </c>
      <c r="AH394" s="7" t="s">
        <v>907</v>
      </c>
      <c r="AI394" s="7" t="s">
        <v>2522</v>
      </c>
      <c r="AJ394" s="7" t="s">
        <v>2389</v>
      </c>
      <c r="AK394" s="7"/>
      <c r="AL394" s="7"/>
      <c r="AM394" s="7"/>
      <c r="AN394" s="7"/>
      <c r="AO394" s="7"/>
      <c r="AP394" s="7"/>
      <c r="AQ394" s="8"/>
      <c r="AR394" s="9" t="n">
        <f aca="false">IFERROR(VLOOKUP($X394,Lotes!$A:$E,5,FALSE())*$U394,"")</f>
        <v>99990</v>
      </c>
      <c r="AS394" s="9" t="n">
        <f aca="false">IF($L394="","",$L394*2.6)</f>
        <v>260000</v>
      </c>
      <c r="AT394" s="9" t="n">
        <v>2468566.176</v>
      </c>
      <c r="AU394" s="9" t="n">
        <v>350000</v>
      </c>
      <c r="AV394" s="9" t="n">
        <v>350000</v>
      </c>
      <c r="AW394" s="9" t="n">
        <v>310000</v>
      </c>
      <c r="AX394" s="7" t="s">
        <v>109</v>
      </c>
      <c r="AY394" s="7" t="s">
        <v>2584</v>
      </c>
      <c r="AZ394" s="7"/>
      <c r="BA394" s="7" t="s">
        <v>2585</v>
      </c>
      <c r="BB394" s="7" t="s">
        <v>2586</v>
      </c>
      <c r="BC394" s="11" t="s">
        <v>2587</v>
      </c>
      <c r="BD394" s="7" t="s">
        <v>2143</v>
      </c>
      <c r="BE394" s="11" t="s">
        <v>2300</v>
      </c>
    </row>
    <row r="395" customFormat="false" ht="15" hidden="false" customHeight="false" outlineLevel="0" collapsed="false">
      <c r="A395" s="6" t="n">
        <v>395</v>
      </c>
      <c r="B395" s="7"/>
      <c r="C395" s="7" t="s">
        <v>2588</v>
      </c>
      <c r="D395" s="8"/>
      <c r="E395" s="7"/>
      <c r="F395" s="7" t="s">
        <v>148</v>
      </c>
      <c r="G395" s="6" t="n">
        <v>1</v>
      </c>
      <c r="H395" s="7"/>
      <c r="I395" s="7"/>
      <c r="J395" s="7"/>
      <c r="K395" s="7" t="s">
        <v>2545</v>
      </c>
      <c r="L395" s="9" t="n">
        <v>179974</v>
      </c>
      <c r="M395" s="9" t="n">
        <v>325000</v>
      </c>
      <c r="N395" s="9"/>
      <c r="O395" s="7"/>
      <c r="P395" s="7"/>
      <c r="Q395" s="7" t="s">
        <v>155</v>
      </c>
      <c r="R395" s="7" t="s">
        <v>2589</v>
      </c>
      <c r="S395" s="7"/>
      <c r="T395" s="7"/>
      <c r="U395" s="10" t="n">
        <v>0.3511</v>
      </c>
      <c r="V395" s="7"/>
      <c r="W395" s="7"/>
      <c r="X395" s="7" t="s">
        <v>2590</v>
      </c>
      <c r="Y395" s="12" t="b">
        <f aca="false">TRUE()</f>
        <v>1</v>
      </c>
      <c r="Z395" s="7"/>
      <c r="AA395" s="7" t="s">
        <v>2591</v>
      </c>
      <c r="AB395" s="8"/>
      <c r="AC395" s="6"/>
      <c r="AD395" s="6"/>
      <c r="AE395" s="6"/>
      <c r="AF395" s="7" t="s">
        <v>2547</v>
      </c>
      <c r="AG395" s="7" t="s">
        <v>2398</v>
      </c>
      <c r="AH395" s="7" t="s">
        <v>2592</v>
      </c>
      <c r="AI395" s="7"/>
      <c r="AJ395" s="7" t="s">
        <v>2593</v>
      </c>
      <c r="AK395" s="7"/>
      <c r="AL395" s="7" t="s">
        <v>2594</v>
      </c>
      <c r="AM395" s="7"/>
      <c r="AN395" s="7"/>
      <c r="AO395" s="7"/>
      <c r="AP395" s="7"/>
      <c r="AQ395" s="8"/>
      <c r="AR395" s="9" t="n">
        <f aca="false">IFERROR(VLOOKUP($X395,Lotes!$A:$E,5,FALSE())*$U395,"")</f>
        <v>179973.86</v>
      </c>
      <c r="AS395" s="9" t="n">
        <f aca="false">IF($L395="","",$L395*2.6)</f>
        <v>467932.4</v>
      </c>
      <c r="AT395" s="9" t="n">
        <v>3440492.647</v>
      </c>
      <c r="AU395" s="9"/>
      <c r="AV395" s="9"/>
      <c r="AW395" s="9"/>
      <c r="AX395" s="7"/>
      <c r="AY395" s="7"/>
      <c r="AZ395" s="7"/>
      <c r="BA395" s="7" t="s">
        <v>2595</v>
      </c>
      <c r="BB395" s="7" t="s">
        <v>2596</v>
      </c>
      <c r="BC395" s="11" t="s">
        <v>2597</v>
      </c>
      <c r="BD395" s="7" t="s">
        <v>2598</v>
      </c>
      <c r="BE395" s="11"/>
    </row>
    <row r="396" customFormat="false" ht="15" hidden="false" customHeight="false" outlineLevel="0" collapsed="false">
      <c r="A396" s="6" t="n">
        <v>396</v>
      </c>
      <c r="B396" s="7"/>
      <c r="C396" s="7" t="s">
        <v>2599</v>
      </c>
      <c r="D396" s="8"/>
      <c r="E396" s="7"/>
      <c r="F396" s="7" t="s">
        <v>148</v>
      </c>
      <c r="G396" s="6" t="n">
        <v>1</v>
      </c>
      <c r="H396" s="7"/>
      <c r="I396" s="7"/>
      <c r="J396" s="7"/>
      <c r="K396" s="7" t="s">
        <v>2545</v>
      </c>
      <c r="L396" s="9" t="n">
        <v>211806</v>
      </c>
      <c r="M396" s="9" t="n">
        <v>401000</v>
      </c>
      <c r="N396" s="9"/>
      <c r="O396" s="7"/>
      <c r="P396" s="7"/>
      <c r="Q396" s="7" t="s">
        <v>155</v>
      </c>
      <c r="R396" s="7" t="s">
        <v>2600</v>
      </c>
      <c r="S396" s="7"/>
      <c r="T396" s="7"/>
      <c r="U396" s="10" t="n">
        <v>0.4132</v>
      </c>
      <c r="V396" s="7"/>
      <c r="W396" s="7"/>
      <c r="X396" s="7" t="s">
        <v>2590</v>
      </c>
      <c r="Y396" s="12" t="b">
        <f aca="false">TRUE()</f>
        <v>1</v>
      </c>
      <c r="Z396" s="7"/>
      <c r="AA396" s="7" t="s">
        <v>2601</v>
      </c>
      <c r="AB396" s="8"/>
      <c r="AC396" s="6"/>
      <c r="AD396" s="6"/>
      <c r="AE396" s="6"/>
      <c r="AF396" s="7" t="s">
        <v>1240</v>
      </c>
      <c r="AG396" s="7" t="s">
        <v>2398</v>
      </c>
      <c r="AH396" s="7" t="s">
        <v>2406</v>
      </c>
      <c r="AI396" s="7"/>
      <c r="AJ396" s="7"/>
      <c r="AK396" s="7"/>
      <c r="AL396" s="7" t="s">
        <v>2602</v>
      </c>
      <c r="AM396" s="7"/>
      <c r="AN396" s="7"/>
      <c r="AO396" s="7"/>
      <c r="AP396" s="7"/>
      <c r="AQ396" s="8"/>
      <c r="AR396" s="9" t="n">
        <f aca="false">IFERROR(VLOOKUP($X396,Lotes!$A:$E,5,FALSE())*$U396,"")</f>
        <v>211806.32</v>
      </c>
      <c r="AS396" s="9" t="n">
        <f aca="false">IF($L396="","",$L396*2.6)</f>
        <v>550695.6</v>
      </c>
      <c r="AT396" s="9" t="n">
        <v>0</v>
      </c>
      <c r="AU396" s="9"/>
      <c r="AV396" s="9"/>
      <c r="AW396" s="9"/>
      <c r="AX396" s="7"/>
      <c r="AY396" s="7"/>
      <c r="AZ396" s="7"/>
      <c r="BA396" s="7" t="s">
        <v>2603</v>
      </c>
      <c r="BB396" s="7" t="s">
        <v>2604</v>
      </c>
      <c r="BC396" s="11" t="s">
        <v>2605</v>
      </c>
      <c r="BD396" s="7" t="s">
        <v>2598</v>
      </c>
      <c r="BE396" s="11"/>
    </row>
    <row r="397" customFormat="false" ht="15" hidden="false" customHeight="false" outlineLevel="0" collapsed="false">
      <c r="A397" s="6" t="n">
        <v>397</v>
      </c>
      <c r="B397" s="7"/>
      <c r="C397" s="7" t="s">
        <v>2606</v>
      </c>
      <c r="D397" s="8"/>
      <c r="E397" s="7"/>
      <c r="F397" s="7" t="s">
        <v>148</v>
      </c>
      <c r="G397" s="6" t="n">
        <v>1</v>
      </c>
      <c r="H397" s="7"/>
      <c r="I397" s="7"/>
      <c r="J397" s="7"/>
      <c r="K397" s="7" t="s">
        <v>2545</v>
      </c>
      <c r="L397" s="9" t="n">
        <v>120820</v>
      </c>
      <c r="M397" s="9" t="n">
        <v>300000</v>
      </c>
      <c r="N397" s="9"/>
      <c r="O397" s="7"/>
      <c r="P397" s="7"/>
      <c r="Q397" s="7" t="s">
        <v>155</v>
      </c>
      <c r="R397" s="7" t="s">
        <v>2607</v>
      </c>
      <c r="S397" s="7"/>
      <c r="T397" s="7"/>
      <c r="U397" s="10" t="n">
        <v>0.2357</v>
      </c>
      <c r="V397" s="7"/>
      <c r="W397" s="7"/>
      <c r="X397" s="7" t="s">
        <v>2590</v>
      </c>
      <c r="Y397" s="12" t="b">
        <f aca="false">TRUE()</f>
        <v>1</v>
      </c>
      <c r="Z397" s="7"/>
      <c r="AA397" s="7" t="s">
        <v>2608</v>
      </c>
      <c r="AB397" s="8"/>
      <c r="AC397" s="6"/>
      <c r="AD397" s="6"/>
      <c r="AE397" s="6"/>
      <c r="AF397" s="7" t="s">
        <v>1961</v>
      </c>
      <c r="AG397" s="7" t="s">
        <v>2398</v>
      </c>
      <c r="AH397" s="7" t="s">
        <v>1148</v>
      </c>
      <c r="AI397" s="7"/>
      <c r="AJ397" s="7"/>
      <c r="AK397" s="7"/>
      <c r="AL397" s="7" t="s">
        <v>2609</v>
      </c>
      <c r="AM397" s="7"/>
      <c r="AN397" s="7"/>
      <c r="AO397" s="7"/>
      <c r="AP397" s="7"/>
      <c r="AQ397" s="8"/>
      <c r="AR397" s="9" t="n">
        <f aca="false">IFERROR(VLOOKUP($X397,Lotes!$A:$E,5,FALSE())*$U397,"")</f>
        <v>120819.82</v>
      </c>
      <c r="AS397" s="9" t="n">
        <f aca="false">IF($L397="","",$L397*2.6)</f>
        <v>314132</v>
      </c>
      <c r="AT397" s="9" t="n">
        <v>2530798.319</v>
      </c>
      <c r="AU397" s="9"/>
      <c r="AV397" s="9"/>
      <c r="AW397" s="9"/>
      <c r="AX397" s="7"/>
      <c r="AY397" s="7"/>
      <c r="AZ397" s="7"/>
      <c r="BA397" s="7" t="s">
        <v>2610</v>
      </c>
      <c r="BB397" s="7" t="s">
        <v>2611</v>
      </c>
      <c r="BC397" s="11" t="s">
        <v>2612</v>
      </c>
      <c r="BD397" s="7" t="s">
        <v>2598</v>
      </c>
      <c r="BE397" s="11"/>
    </row>
    <row r="398" customFormat="false" ht="15" hidden="false" customHeight="false" outlineLevel="0" collapsed="false">
      <c r="A398" s="6" t="n">
        <v>398</v>
      </c>
      <c r="B398" s="7"/>
      <c r="C398" s="7" t="s">
        <v>2613</v>
      </c>
      <c r="D398" s="8"/>
      <c r="E398" s="7"/>
      <c r="F398" s="7" t="s">
        <v>148</v>
      </c>
      <c r="G398" s="6" t="n">
        <v>1</v>
      </c>
      <c r="H398" s="7"/>
      <c r="I398" s="7"/>
      <c r="J398" s="7"/>
      <c r="K398" s="7" t="s">
        <v>2545</v>
      </c>
      <c r="L398" s="9" t="n">
        <v>331020</v>
      </c>
      <c r="M398" s="9" t="n">
        <v>828000</v>
      </c>
      <c r="N398" s="9"/>
      <c r="O398" s="7"/>
      <c r="P398" s="7"/>
      <c r="Q398" s="7" t="s">
        <v>155</v>
      </c>
      <c r="R398" s="7" t="s">
        <v>2614</v>
      </c>
      <c r="S398" s="7"/>
      <c r="T398" s="7"/>
      <c r="U398" s="10" t="n">
        <v>0.613</v>
      </c>
      <c r="V398" s="7"/>
      <c r="W398" s="7"/>
      <c r="X398" s="7" t="s">
        <v>2615</v>
      </c>
      <c r="Y398" s="12" t="b">
        <f aca="false">TRUE()</f>
        <v>1</v>
      </c>
      <c r="Z398" s="7"/>
      <c r="AA398" s="7" t="s">
        <v>2616</v>
      </c>
      <c r="AB398" s="8"/>
      <c r="AC398" s="6"/>
      <c r="AD398" s="6"/>
      <c r="AE398" s="6"/>
      <c r="AF398" s="7" t="s">
        <v>2547</v>
      </c>
      <c r="AG398" s="7" t="s">
        <v>2398</v>
      </c>
      <c r="AH398" s="7" t="s">
        <v>2592</v>
      </c>
      <c r="AI398" s="7"/>
      <c r="AJ398" s="7"/>
      <c r="AK398" s="7"/>
      <c r="AL398" s="7" t="s">
        <v>2617</v>
      </c>
      <c r="AM398" s="7"/>
      <c r="AN398" s="7"/>
      <c r="AO398" s="7"/>
      <c r="AP398" s="7"/>
      <c r="AQ398" s="8"/>
      <c r="AR398" s="9" t="n">
        <f aca="false">IFERROR(VLOOKUP($X398,Lotes!$A:$E,5,FALSE())*$U398,"")</f>
        <v>331020</v>
      </c>
      <c r="AS398" s="9" t="n">
        <f aca="false">IF($L398="","",$L398*2.6)</f>
        <v>860652</v>
      </c>
      <c r="AT398" s="9" t="n">
        <v>2754280.462</v>
      </c>
      <c r="AU398" s="9"/>
      <c r="AV398" s="9"/>
      <c r="AW398" s="9"/>
      <c r="AX398" s="7"/>
      <c r="AY398" s="7"/>
      <c r="AZ398" s="7" t="s">
        <v>2618</v>
      </c>
      <c r="BA398" s="7" t="s">
        <v>2619</v>
      </c>
      <c r="BB398" s="7" t="s">
        <v>2620</v>
      </c>
      <c r="BC398" s="11" t="s">
        <v>2621</v>
      </c>
      <c r="BD398" s="7" t="s">
        <v>2598</v>
      </c>
      <c r="BE398" s="11"/>
    </row>
    <row r="399" customFormat="false" ht="15" hidden="false" customHeight="false" outlineLevel="0" collapsed="false">
      <c r="A399" s="6" t="n">
        <v>399</v>
      </c>
      <c r="B399" s="7"/>
      <c r="C399" s="7" t="s">
        <v>2622</v>
      </c>
      <c r="D399" s="8"/>
      <c r="E399" s="7"/>
      <c r="F399" s="7" t="s">
        <v>148</v>
      </c>
      <c r="G399" s="6" t="n">
        <v>1</v>
      </c>
      <c r="H399" s="7"/>
      <c r="I399" s="7"/>
      <c r="J399" s="7"/>
      <c r="K399" s="7" t="s">
        <v>2545</v>
      </c>
      <c r="L399" s="9" t="n">
        <v>208980</v>
      </c>
      <c r="M399" s="9" t="n">
        <v>522000</v>
      </c>
      <c r="N399" s="9"/>
      <c r="O399" s="7"/>
      <c r="P399" s="7"/>
      <c r="Q399" s="7" t="s">
        <v>155</v>
      </c>
      <c r="R399" s="7" t="s">
        <v>2623</v>
      </c>
      <c r="S399" s="7"/>
      <c r="T399" s="7"/>
      <c r="U399" s="10" t="n">
        <v>0.387</v>
      </c>
      <c r="V399" s="7"/>
      <c r="W399" s="7"/>
      <c r="X399" s="7" t="s">
        <v>2615</v>
      </c>
      <c r="Y399" s="12" t="b">
        <f aca="false">TRUE()</f>
        <v>1</v>
      </c>
      <c r="Z399" s="7"/>
      <c r="AA399" s="7" t="s">
        <v>2624</v>
      </c>
      <c r="AB399" s="8"/>
      <c r="AC399" s="6"/>
      <c r="AD399" s="6"/>
      <c r="AE399" s="6"/>
      <c r="AF399" s="7" t="s">
        <v>2547</v>
      </c>
      <c r="AG399" s="7" t="s">
        <v>2398</v>
      </c>
      <c r="AH399" s="7" t="s">
        <v>1148</v>
      </c>
      <c r="AI399" s="7"/>
      <c r="AJ399" s="7"/>
      <c r="AK399" s="7"/>
      <c r="AL399" s="7" t="s">
        <v>2625</v>
      </c>
      <c r="AM399" s="7"/>
      <c r="AN399" s="7"/>
      <c r="AO399" s="7"/>
      <c r="AP399" s="7"/>
      <c r="AQ399" s="8"/>
      <c r="AR399" s="9" t="n">
        <f aca="false">IFERROR(VLOOKUP($X399,Lotes!$A:$E,5,FALSE())*$U399,"")</f>
        <v>208980</v>
      </c>
      <c r="AS399" s="9" t="n">
        <f aca="false">IF($L399="","",$L399*2.6)</f>
        <v>543348</v>
      </c>
      <c r="AT399" s="9" t="n">
        <v>2524369.748</v>
      </c>
      <c r="AU399" s="9"/>
      <c r="AV399" s="9"/>
      <c r="AW399" s="9"/>
      <c r="AX399" s="7"/>
      <c r="AY399" s="7"/>
      <c r="AZ399" s="7" t="s">
        <v>2618</v>
      </c>
      <c r="BA399" s="7" t="s">
        <v>2626</v>
      </c>
      <c r="BB399" s="7" t="s">
        <v>2627</v>
      </c>
      <c r="BC399" s="11" t="s">
        <v>2628</v>
      </c>
      <c r="BD399" s="7" t="s">
        <v>2598</v>
      </c>
      <c r="BE399" s="11"/>
    </row>
    <row r="400" customFormat="false" ht="15" hidden="false" customHeight="false" outlineLevel="0" collapsed="false">
      <c r="A400" s="6" t="n">
        <v>400</v>
      </c>
      <c r="B400" s="7"/>
      <c r="C400" s="7" t="s">
        <v>2629</v>
      </c>
      <c r="D400" s="8"/>
      <c r="E400" s="7"/>
      <c r="F400" s="7" t="s">
        <v>148</v>
      </c>
      <c r="G400" s="6" t="n">
        <v>1</v>
      </c>
      <c r="H400" s="7"/>
      <c r="I400" s="7"/>
      <c r="J400" s="7"/>
      <c r="K400" s="7" t="s">
        <v>2545</v>
      </c>
      <c r="L400" s="9" t="n">
        <v>123995</v>
      </c>
      <c r="M400" s="9" t="n">
        <v>310000</v>
      </c>
      <c r="N400" s="9"/>
      <c r="O400" s="7"/>
      <c r="P400" s="7"/>
      <c r="Q400" s="7" t="s">
        <v>155</v>
      </c>
      <c r="R400" s="7" t="s">
        <v>2630</v>
      </c>
      <c r="S400" s="7"/>
      <c r="T400" s="7"/>
      <c r="U400" s="10" t="n">
        <v>0.3827</v>
      </c>
      <c r="V400" s="7"/>
      <c r="W400" s="7"/>
      <c r="X400" s="7" t="s">
        <v>2631</v>
      </c>
      <c r="Y400" s="12" t="b">
        <f aca="false">TRUE()</f>
        <v>1</v>
      </c>
      <c r="Z400" s="7"/>
      <c r="AA400" s="7" t="s">
        <v>2632</v>
      </c>
      <c r="AB400" s="8"/>
      <c r="AC400" s="6"/>
      <c r="AD400" s="6"/>
      <c r="AE400" s="6"/>
      <c r="AF400" s="7" t="s">
        <v>2547</v>
      </c>
      <c r="AG400" s="7" t="s">
        <v>2398</v>
      </c>
      <c r="AH400" s="7" t="s">
        <v>2406</v>
      </c>
      <c r="AI400" s="7"/>
      <c r="AJ400" s="7"/>
      <c r="AK400" s="7"/>
      <c r="AL400" s="7" t="s">
        <v>2633</v>
      </c>
      <c r="AM400" s="7"/>
      <c r="AN400" s="7"/>
      <c r="AO400" s="7"/>
      <c r="AP400" s="7"/>
      <c r="AQ400" s="8"/>
      <c r="AR400" s="9" t="n">
        <f aca="false">IFERROR(VLOOKUP($X400,Lotes!$A:$E,5,FALSE())*$U400,"")</f>
        <v>123994.8</v>
      </c>
      <c r="AS400" s="9" t="n">
        <f aca="false">IF($L400="","",$L400*2.6)</f>
        <v>322387</v>
      </c>
      <c r="AT400" s="9" t="n">
        <v>2415798.319</v>
      </c>
      <c r="AU400" s="9"/>
      <c r="AV400" s="9"/>
      <c r="AW400" s="9"/>
      <c r="AX400" s="7"/>
      <c r="AY400" s="7"/>
      <c r="AZ400" s="7" t="s">
        <v>2634</v>
      </c>
      <c r="BA400" s="7" t="s">
        <v>2635</v>
      </c>
      <c r="BB400" s="7" t="s">
        <v>2636</v>
      </c>
      <c r="BC400" s="11" t="s">
        <v>2637</v>
      </c>
      <c r="BD400" s="7" t="s">
        <v>2598</v>
      </c>
      <c r="BE400" s="11"/>
    </row>
    <row r="401" customFormat="false" ht="15" hidden="false" customHeight="false" outlineLevel="0" collapsed="false">
      <c r="A401" s="6" t="n">
        <v>401</v>
      </c>
      <c r="B401" s="7"/>
      <c r="C401" s="7" t="s">
        <v>2638</v>
      </c>
      <c r="D401" s="8"/>
      <c r="E401" s="7"/>
      <c r="F401" s="7" t="s">
        <v>148</v>
      </c>
      <c r="G401" s="6" t="n">
        <v>1</v>
      </c>
      <c r="H401" s="7"/>
      <c r="I401" s="7"/>
      <c r="J401" s="7"/>
      <c r="K401" s="7" t="s">
        <v>2545</v>
      </c>
      <c r="L401" s="9" t="n">
        <v>200005</v>
      </c>
      <c r="M401" s="9" t="n">
        <v>500000</v>
      </c>
      <c r="N401" s="9"/>
      <c r="O401" s="7"/>
      <c r="P401" s="7"/>
      <c r="Q401" s="7" t="s">
        <v>155</v>
      </c>
      <c r="R401" s="7" t="s">
        <v>2639</v>
      </c>
      <c r="S401" s="7"/>
      <c r="T401" s="7"/>
      <c r="U401" s="10" t="n">
        <v>0.6173</v>
      </c>
      <c r="V401" s="7"/>
      <c r="W401" s="7"/>
      <c r="X401" s="7" t="s">
        <v>2631</v>
      </c>
      <c r="Y401" s="12" t="b">
        <f aca="false">TRUE()</f>
        <v>1</v>
      </c>
      <c r="Z401" s="7"/>
      <c r="AA401" s="7" t="s">
        <v>2640</v>
      </c>
      <c r="AB401" s="8"/>
      <c r="AC401" s="6"/>
      <c r="AD401" s="6"/>
      <c r="AE401" s="6"/>
      <c r="AF401" s="7" t="s">
        <v>2547</v>
      </c>
      <c r="AG401" s="7" t="s">
        <v>2398</v>
      </c>
      <c r="AH401" s="7" t="s">
        <v>1148</v>
      </c>
      <c r="AI401" s="7"/>
      <c r="AJ401" s="7"/>
      <c r="AK401" s="7"/>
      <c r="AL401" s="7" t="s">
        <v>2641</v>
      </c>
      <c r="AM401" s="7"/>
      <c r="AN401" s="7"/>
      <c r="AO401" s="7"/>
      <c r="AP401" s="7"/>
      <c r="AQ401" s="8"/>
      <c r="AR401" s="9" t="n">
        <f aca="false">IFERROR(VLOOKUP($X401,Lotes!$A:$E,5,FALSE())*$U401,"")</f>
        <v>200005.2</v>
      </c>
      <c r="AS401" s="9" t="n">
        <f aca="false">IF($L401="","",$L401*2.6)</f>
        <v>520013</v>
      </c>
      <c r="AT401" s="9" t="n">
        <v>2425798.319</v>
      </c>
      <c r="AU401" s="9"/>
      <c r="AV401" s="9"/>
      <c r="AW401" s="9"/>
      <c r="AX401" s="7"/>
      <c r="AY401" s="7"/>
      <c r="AZ401" s="7" t="s">
        <v>2634</v>
      </c>
      <c r="BA401" s="7" t="s">
        <v>2642</v>
      </c>
      <c r="BB401" s="7" t="s">
        <v>2643</v>
      </c>
      <c r="BC401" s="11" t="s">
        <v>2644</v>
      </c>
      <c r="BD401" s="7" t="s">
        <v>2598</v>
      </c>
      <c r="BE401" s="11"/>
    </row>
    <row r="402" customFormat="false" ht="15" hidden="false" customHeight="false" outlineLevel="0" collapsed="false">
      <c r="A402" s="6" t="n">
        <v>402</v>
      </c>
      <c r="B402" s="7"/>
      <c r="C402" s="7" t="s">
        <v>2645</v>
      </c>
      <c r="D402" s="8"/>
      <c r="E402" s="7"/>
      <c r="F402" s="7" t="s">
        <v>148</v>
      </c>
      <c r="G402" s="6" t="n">
        <v>1</v>
      </c>
      <c r="H402" s="7"/>
      <c r="I402" s="7"/>
      <c r="J402" s="7"/>
      <c r="K402" s="7" t="s">
        <v>2545</v>
      </c>
      <c r="L402" s="9" t="n">
        <v>70000</v>
      </c>
      <c r="M402" s="9" t="n">
        <v>175000</v>
      </c>
      <c r="N402" s="9"/>
      <c r="O402" s="7"/>
      <c r="P402" s="7"/>
      <c r="Q402" s="7" t="s">
        <v>155</v>
      </c>
      <c r="R402" s="7" t="s">
        <v>2646</v>
      </c>
      <c r="S402" s="7"/>
      <c r="T402" s="7"/>
      <c r="U402" s="10" t="n">
        <v>1</v>
      </c>
      <c r="V402" s="7"/>
      <c r="W402" s="7"/>
      <c r="X402" s="7" t="s">
        <v>2647</v>
      </c>
      <c r="Y402" s="12" t="b">
        <f aca="false">TRUE()</f>
        <v>1</v>
      </c>
      <c r="Z402" s="7"/>
      <c r="AA402" s="7" t="s">
        <v>2648</v>
      </c>
      <c r="AB402" s="8"/>
      <c r="AC402" s="6"/>
      <c r="AD402" s="6"/>
      <c r="AE402" s="6"/>
      <c r="AF402" s="7" t="s">
        <v>1961</v>
      </c>
      <c r="AG402" s="7" t="s">
        <v>2398</v>
      </c>
      <c r="AH402" s="7" t="s">
        <v>2592</v>
      </c>
      <c r="AI402" s="7"/>
      <c r="AJ402" s="7"/>
      <c r="AK402" s="7"/>
      <c r="AL402" s="7" t="s">
        <v>2649</v>
      </c>
      <c r="AM402" s="7"/>
      <c r="AN402" s="7"/>
      <c r="AO402" s="7"/>
      <c r="AP402" s="7"/>
      <c r="AQ402" s="8"/>
      <c r="AR402" s="9" t="n">
        <f aca="false">IFERROR(VLOOKUP($X402,Lotes!$A:$E,5,FALSE())*$U402,"")</f>
        <v>70000</v>
      </c>
      <c r="AS402" s="9" t="n">
        <f aca="false">IF($L402="","",$L402*2.6)</f>
        <v>182000</v>
      </c>
      <c r="AT402" s="9" t="n">
        <v>2431512.605</v>
      </c>
      <c r="AU402" s="9"/>
      <c r="AV402" s="9"/>
      <c r="AW402" s="9"/>
      <c r="AX402" s="7"/>
      <c r="AY402" s="7"/>
      <c r="AZ402" s="7"/>
      <c r="BA402" s="7" t="s">
        <v>2650</v>
      </c>
      <c r="BB402" s="7" t="s">
        <v>2651</v>
      </c>
      <c r="BC402" s="11" t="s">
        <v>2652</v>
      </c>
      <c r="BD402" s="7" t="s">
        <v>2598</v>
      </c>
      <c r="BE402" s="11"/>
    </row>
    <row r="403" customFormat="false" ht="15" hidden="false" customHeight="false" outlineLevel="0" collapsed="false">
      <c r="A403" s="6" t="n">
        <v>403</v>
      </c>
      <c r="B403" s="7"/>
      <c r="C403" s="7" t="s">
        <v>2653</v>
      </c>
      <c r="D403" s="8"/>
      <c r="E403" s="7"/>
      <c r="F403" s="7" t="s">
        <v>148</v>
      </c>
      <c r="G403" s="6" t="n">
        <v>1</v>
      </c>
      <c r="H403" s="7"/>
      <c r="I403" s="7"/>
      <c r="J403" s="7"/>
      <c r="K403" s="7" t="s">
        <v>2545</v>
      </c>
      <c r="L403" s="9" t="n">
        <v>119999</v>
      </c>
      <c r="M403" s="9" t="n">
        <v>300000</v>
      </c>
      <c r="N403" s="9"/>
      <c r="O403" s="7"/>
      <c r="P403" s="7"/>
      <c r="Q403" s="7" t="s">
        <v>155</v>
      </c>
      <c r="R403" s="7" t="s">
        <v>2654</v>
      </c>
      <c r="S403" s="7"/>
      <c r="T403" s="7"/>
      <c r="U403" s="10" t="n">
        <v>0.4444</v>
      </c>
      <c r="V403" s="7"/>
      <c r="W403" s="7"/>
      <c r="X403" s="7" t="s">
        <v>2655</v>
      </c>
      <c r="Y403" s="12" t="b">
        <f aca="false">TRUE()</f>
        <v>1</v>
      </c>
      <c r="Z403" s="7"/>
      <c r="AA403" s="7" t="s">
        <v>2656</v>
      </c>
      <c r="AB403" s="8"/>
      <c r="AC403" s="6"/>
      <c r="AD403" s="6"/>
      <c r="AE403" s="6"/>
      <c r="AF403" s="7" t="s">
        <v>1961</v>
      </c>
      <c r="AG403" s="7" t="s">
        <v>2398</v>
      </c>
      <c r="AH403" s="7" t="s">
        <v>2592</v>
      </c>
      <c r="AI403" s="7"/>
      <c r="AJ403" s="7" t="s">
        <v>2593</v>
      </c>
      <c r="AK403" s="7"/>
      <c r="AL403" s="7" t="s">
        <v>2657</v>
      </c>
      <c r="AM403" s="7"/>
      <c r="AN403" s="7"/>
      <c r="AO403" s="7"/>
      <c r="AP403" s="7"/>
      <c r="AQ403" s="8"/>
      <c r="AR403" s="9" t="n">
        <f aca="false">IFERROR(VLOOKUP($X403,Lotes!$A:$E,5,FALSE())*$U403,"")</f>
        <v>119988</v>
      </c>
      <c r="AS403" s="9" t="n">
        <f aca="false">IF($L403="","",$L403*2.6)</f>
        <v>311997.4</v>
      </c>
      <c r="AT403" s="9" t="n">
        <v>2854280.462</v>
      </c>
      <c r="AU403" s="9"/>
      <c r="AV403" s="9"/>
      <c r="AW403" s="9"/>
      <c r="AX403" s="7"/>
      <c r="AY403" s="7"/>
      <c r="AZ403" s="7" t="s">
        <v>2658</v>
      </c>
      <c r="BA403" s="7" t="s">
        <v>2659</v>
      </c>
      <c r="BB403" s="7" t="s">
        <v>2660</v>
      </c>
      <c r="BC403" s="11" t="s">
        <v>2661</v>
      </c>
      <c r="BD403" s="7" t="s">
        <v>2598</v>
      </c>
      <c r="BE403" s="11"/>
    </row>
    <row r="404" customFormat="false" ht="15" hidden="false" customHeight="false" outlineLevel="0" collapsed="false">
      <c r="A404" s="6" t="n">
        <v>404</v>
      </c>
      <c r="B404" s="7"/>
      <c r="C404" s="7" t="s">
        <v>2662</v>
      </c>
      <c r="D404" s="8"/>
      <c r="E404" s="7"/>
      <c r="F404" s="7" t="s">
        <v>148</v>
      </c>
      <c r="G404" s="6" t="n">
        <v>1</v>
      </c>
      <c r="H404" s="7"/>
      <c r="I404" s="7"/>
      <c r="J404" s="7"/>
      <c r="K404" s="7" t="s">
        <v>2545</v>
      </c>
      <c r="L404" s="9" t="n">
        <v>43999</v>
      </c>
      <c r="M404" s="9" t="n">
        <v>110000</v>
      </c>
      <c r="N404" s="9"/>
      <c r="O404" s="7"/>
      <c r="P404" s="7"/>
      <c r="Q404" s="7" t="s">
        <v>155</v>
      </c>
      <c r="R404" s="7" t="s">
        <v>2663</v>
      </c>
      <c r="S404" s="7"/>
      <c r="T404" s="7"/>
      <c r="U404" s="10" t="n">
        <v>0.163</v>
      </c>
      <c r="V404" s="7"/>
      <c r="W404" s="7"/>
      <c r="X404" s="7" t="s">
        <v>2655</v>
      </c>
      <c r="Y404" s="12" t="b">
        <f aca="false">TRUE()</f>
        <v>1</v>
      </c>
      <c r="Z404" s="7"/>
      <c r="AA404" s="7" t="s">
        <v>2656</v>
      </c>
      <c r="AB404" s="8"/>
      <c r="AC404" s="6"/>
      <c r="AD404" s="6"/>
      <c r="AE404" s="6"/>
      <c r="AF404" s="7"/>
      <c r="AG404" s="7" t="s">
        <v>2398</v>
      </c>
      <c r="AH404" s="7" t="s">
        <v>2406</v>
      </c>
      <c r="AI404" s="7"/>
      <c r="AJ404" s="7" t="s">
        <v>2593</v>
      </c>
      <c r="AK404" s="7"/>
      <c r="AL404" s="7" t="s">
        <v>2664</v>
      </c>
      <c r="AM404" s="7"/>
      <c r="AN404" s="7"/>
      <c r="AO404" s="7"/>
      <c r="AP404" s="7"/>
      <c r="AQ404" s="8"/>
      <c r="AR404" s="9" t="n">
        <f aca="false">IFERROR(VLOOKUP($X404,Lotes!$A:$E,5,FALSE())*$U404,"")</f>
        <v>44010</v>
      </c>
      <c r="AS404" s="9" t="n">
        <f aca="false">IF($L404="","",$L404*2.6)</f>
        <v>114397.4</v>
      </c>
      <c r="AT404" s="9" t="n">
        <v>2552941.176</v>
      </c>
      <c r="AU404" s="9"/>
      <c r="AV404" s="9"/>
      <c r="AW404" s="9"/>
      <c r="AX404" s="7"/>
      <c r="AY404" s="7"/>
      <c r="AZ404" s="7" t="s">
        <v>2658</v>
      </c>
      <c r="BA404" s="7" t="s">
        <v>2665</v>
      </c>
      <c r="BB404" s="7" t="s">
        <v>2666</v>
      </c>
      <c r="BC404" s="11" t="s">
        <v>2667</v>
      </c>
      <c r="BD404" s="7" t="s">
        <v>2598</v>
      </c>
      <c r="BE404" s="11"/>
    </row>
    <row r="405" customFormat="false" ht="15" hidden="false" customHeight="false" outlineLevel="0" collapsed="false">
      <c r="A405" s="6" t="n">
        <v>405</v>
      </c>
      <c r="B405" s="7"/>
      <c r="C405" s="7" t="s">
        <v>2668</v>
      </c>
      <c r="D405" s="8"/>
      <c r="E405" s="7"/>
      <c r="F405" s="7" t="s">
        <v>148</v>
      </c>
      <c r="G405" s="6" t="n">
        <v>1</v>
      </c>
      <c r="H405" s="7"/>
      <c r="I405" s="7"/>
      <c r="J405" s="7"/>
      <c r="K405" s="7" t="s">
        <v>2545</v>
      </c>
      <c r="L405" s="9" t="n">
        <v>51000</v>
      </c>
      <c r="M405" s="9" t="n">
        <v>127500</v>
      </c>
      <c r="N405" s="9"/>
      <c r="O405" s="7"/>
      <c r="P405" s="7"/>
      <c r="Q405" s="7" t="s">
        <v>155</v>
      </c>
      <c r="R405" s="7" t="s">
        <v>2669</v>
      </c>
      <c r="S405" s="7"/>
      <c r="T405" s="7"/>
      <c r="U405" s="10" t="n">
        <v>0.1889</v>
      </c>
      <c r="V405" s="7"/>
      <c r="W405" s="7"/>
      <c r="X405" s="7" t="s">
        <v>2655</v>
      </c>
      <c r="Y405" s="12" t="b">
        <f aca="false">TRUE()</f>
        <v>1</v>
      </c>
      <c r="Z405" s="7"/>
      <c r="AA405" s="7" t="s">
        <v>2656</v>
      </c>
      <c r="AB405" s="8"/>
      <c r="AC405" s="6"/>
      <c r="AD405" s="6"/>
      <c r="AE405" s="6"/>
      <c r="AF405" s="7"/>
      <c r="AG405" s="7" t="s">
        <v>2398</v>
      </c>
      <c r="AH405" s="7" t="s">
        <v>1422</v>
      </c>
      <c r="AI405" s="7"/>
      <c r="AJ405" s="7"/>
      <c r="AK405" s="7"/>
      <c r="AL405" s="7" t="s">
        <v>2670</v>
      </c>
      <c r="AM405" s="7"/>
      <c r="AN405" s="7"/>
      <c r="AO405" s="7"/>
      <c r="AP405" s="7"/>
      <c r="AQ405" s="8"/>
      <c r="AR405" s="9" t="n">
        <f aca="false">IFERROR(VLOOKUP($X405,Lotes!$A:$E,5,FALSE())*$U405,"")</f>
        <v>51003</v>
      </c>
      <c r="AS405" s="9" t="n">
        <f aca="false">IF($L405="","",$L405*2.6)</f>
        <v>132600</v>
      </c>
      <c r="AT405" s="9" t="n">
        <v>2481512.605</v>
      </c>
      <c r="AU405" s="9"/>
      <c r="AV405" s="9"/>
      <c r="AW405" s="9"/>
      <c r="AX405" s="7"/>
      <c r="AY405" s="7"/>
      <c r="AZ405" s="7" t="s">
        <v>2658</v>
      </c>
      <c r="BA405" s="7" t="s">
        <v>2671</v>
      </c>
      <c r="BB405" s="7" t="s">
        <v>2672</v>
      </c>
      <c r="BC405" s="11" t="s">
        <v>2673</v>
      </c>
      <c r="BD405" s="7" t="s">
        <v>2598</v>
      </c>
      <c r="BE405" s="11"/>
    </row>
    <row r="406" customFormat="false" ht="15" hidden="false" customHeight="false" outlineLevel="0" collapsed="false">
      <c r="A406" s="6" t="n">
        <v>406</v>
      </c>
      <c r="B406" s="7"/>
      <c r="C406" s="7" t="s">
        <v>2674</v>
      </c>
      <c r="D406" s="8"/>
      <c r="E406" s="7"/>
      <c r="F406" s="7" t="s">
        <v>148</v>
      </c>
      <c r="G406" s="6" t="n">
        <v>1</v>
      </c>
      <c r="H406" s="7"/>
      <c r="I406" s="7"/>
      <c r="J406" s="7"/>
      <c r="K406" s="7" t="s">
        <v>2545</v>
      </c>
      <c r="L406" s="9" t="n">
        <v>54999</v>
      </c>
      <c r="M406" s="9" t="n">
        <v>137500</v>
      </c>
      <c r="N406" s="9"/>
      <c r="O406" s="7"/>
      <c r="P406" s="7"/>
      <c r="Q406" s="7" t="s">
        <v>155</v>
      </c>
      <c r="R406" s="7" t="s">
        <v>2675</v>
      </c>
      <c r="S406" s="7"/>
      <c r="T406" s="7"/>
      <c r="U406" s="10" t="n">
        <v>0.2037</v>
      </c>
      <c r="V406" s="7"/>
      <c r="W406" s="7"/>
      <c r="X406" s="7" t="s">
        <v>2655</v>
      </c>
      <c r="Y406" s="12" t="b">
        <f aca="false">TRUE()</f>
        <v>1</v>
      </c>
      <c r="Z406" s="7"/>
      <c r="AA406" s="7" t="s">
        <v>2676</v>
      </c>
      <c r="AB406" s="8"/>
      <c r="AC406" s="6"/>
      <c r="AD406" s="6"/>
      <c r="AE406" s="6"/>
      <c r="AF406" s="7"/>
      <c r="AG406" s="7" t="s">
        <v>2398</v>
      </c>
      <c r="AH406" s="7" t="s">
        <v>1148</v>
      </c>
      <c r="AI406" s="7"/>
      <c r="AJ406" s="7"/>
      <c r="AK406" s="7"/>
      <c r="AL406" s="7" t="s">
        <v>2677</v>
      </c>
      <c r="AM406" s="7"/>
      <c r="AN406" s="7"/>
      <c r="AO406" s="7"/>
      <c r="AP406" s="7"/>
      <c r="AQ406" s="8"/>
      <c r="AR406" s="9" t="n">
        <f aca="false">IFERROR(VLOOKUP($X406,Lotes!$A:$E,5,FALSE())*$U406,"")</f>
        <v>54999</v>
      </c>
      <c r="AS406" s="9" t="n">
        <f aca="false">IF($L406="","",$L406*2.6)</f>
        <v>142997.4</v>
      </c>
      <c r="AT406" s="9" t="n">
        <v>2510084.034</v>
      </c>
      <c r="AU406" s="9"/>
      <c r="AV406" s="9"/>
      <c r="AW406" s="9"/>
      <c r="AX406" s="7"/>
      <c r="AY406" s="7"/>
      <c r="AZ406" s="7" t="s">
        <v>2658</v>
      </c>
      <c r="BA406" s="7" t="s">
        <v>2678</v>
      </c>
      <c r="BB406" s="7" t="s">
        <v>2679</v>
      </c>
      <c r="BC406" s="11" t="s">
        <v>2680</v>
      </c>
      <c r="BD406" s="7" t="s">
        <v>2598</v>
      </c>
      <c r="BE406" s="11"/>
    </row>
    <row r="407" customFormat="false" ht="15" hidden="false" customHeight="false" outlineLevel="0" collapsed="false">
      <c r="A407" s="6" t="n">
        <v>407</v>
      </c>
      <c r="B407" s="7"/>
      <c r="C407" s="7" t="s">
        <v>2681</v>
      </c>
      <c r="D407" s="8"/>
      <c r="E407" s="7"/>
      <c r="F407" s="7" t="s">
        <v>148</v>
      </c>
      <c r="G407" s="6" t="n">
        <v>1</v>
      </c>
      <c r="H407" s="7"/>
      <c r="I407" s="7"/>
      <c r="J407" s="7"/>
      <c r="K407" s="7" t="s">
        <v>2545</v>
      </c>
      <c r="L407" s="9" t="n">
        <v>139998</v>
      </c>
      <c r="M407" s="9" t="n">
        <v>350000</v>
      </c>
      <c r="N407" s="9"/>
      <c r="O407" s="7"/>
      <c r="P407" s="7"/>
      <c r="Q407" s="7" t="s">
        <v>155</v>
      </c>
      <c r="R407" s="7" t="s">
        <v>2682</v>
      </c>
      <c r="S407" s="7"/>
      <c r="T407" s="7"/>
      <c r="U407" s="10" t="n">
        <v>0.4118</v>
      </c>
      <c r="V407" s="7"/>
      <c r="W407" s="7"/>
      <c r="X407" s="7" t="s">
        <v>2683</v>
      </c>
      <c r="Y407" s="12" t="b">
        <f aca="false">TRUE()</f>
        <v>1</v>
      </c>
      <c r="Z407" s="7"/>
      <c r="AA407" s="7"/>
      <c r="AB407" s="8"/>
      <c r="AC407" s="6"/>
      <c r="AD407" s="6"/>
      <c r="AE407" s="6"/>
      <c r="AF407" s="7" t="s">
        <v>1961</v>
      </c>
      <c r="AG407" s="7" t="s">
        <v>2398</v>
      </c>
      <c r="AH407" s="7" t="s">
        <v>2592</v>
      </c>
      <c r="AI407" s="7"/>
      <c r="AJ407" s="7" t="s">
        <v>2593</v>
      </c>
      <c r="AK407" s="7"/>
      <c r="AL407" s="7" t="s">
        <v>2684</v>
      </c>
      <c r="AM407" s="7"/>
      <c r="AN407" s="7"/>
      <c r="AO407" s="7"/>
      <c r="AP407" s="7"/>
      <c r="AQ407" s="8"/>
      <c r="AR407" s="9" t="n">
        <f aca="false">IFERROR(VLOOKUP($X407,Lotes!$A:$E,5,FALSE())*$U407,"")</f>
        <v>140012</v>
      </c>
      <c r="AS407" s="9" t="n">
        <f aca="false">IF($L407="","",$L407*2.6)</f>
        <v>363994.8</v>
      </c>
      <c r="AT407" s="9" t="n">
        <v>2554280.462</v>
      </c>
      <c r="AU407" s="9"/>
      <c r="AV407" s="9"/>
      <c r="AW407" s="9"/>
      <c r="AX407" s="7"/>
      <c r="AY407" s="7"/>
      <c r="AZ407" s="7" t="s">
        <v>2685</v>
      </c>
      <c r="BA407" s="7" t="s">
        <v>2686</v>
      </c>
      <c r="BB407" s="7" t="s">
        <v>2687</v>
      </c>
      <c r="BC407" s="11" t="s">
        <v>2688</v>
      </c>
      <c r="BD407" s="7" t="s">
        <v>2598</v>
      </c>
      <c r="BE407" s="11"/>
    </row>
    <row r="408" customFormat="false" ht="15" hidden="false" customHeight="false" outlineLevel="0" collapsed="false">
      <c r="A408" s="6" t="n">
        <v>408</v>
      </c>
      <c r="B408" s="7"/>
      <c r="C408" s="7" t="s">
        <v>2629</v>
      </c>
      <c r="D408" s="8"/>
      <c r="E408" s="7"/>
      <c r="F408" s="7" t="s">
        <v>148</v>
      </c>
      <c r="G408" s="6" t="n">
        <v>1</v>
      </c>
      <c r="H408" s="7"/>
      <c r="I408" s="7"/>
      <c r="J408" s="7"/>
      <c r="K408" s="7" t="s">
        <v>2545</v>
      </c>
      <c r="L408" s="9" t="n">
        <v>90001</v>
      </c>
      <c r="M408" s="9" t="n">
        <v>225000</v>
      </c>
      <c r="N408" s="9"/>
      <c r="O408" s="7"/>
      <c r="P408" s="7"/>
      <c r="Q408" s="7" t="s">
        <v>155</v>
      </c>
      <c r="R408" s="7" t="s">
        <v>2689</v>
      </c>
      <c r="S408" s="7"/>
      <c r="T408" s="7"/>
      <c r="U408" s="10" t="n">
        <v>0.2647</v>
      </c>
      <c r="V408" s="7"/>
      <c r="W408" s="7"/>
      <c r="X408" s="7" t="s">
        <v>2683</v>
      </c>
      <c r="Y408" s="12" t="b">
        <f aca="false">TRUE()</f>
        <v>1</v>
      </c>
      <c r="Z408" s="7"/>
      <c r="AA408" s="7"/>
      <c r="AB408" s="8"/>
      <c r="AC408" s="6"/>
      <c r="AD408" s="6"/>
      <c r="AE408" s="6"/>
      <c r="AF408" s="7" t="s">
        <v>1961</v>
      </c>
      <c r="AG408" s="7" t="s">
        <v>2398</v>
      </c>
      <c r="AH408" s="7" t="s">
        <v>2406</v>
      </c>
      <c r="AI408" s="7"/>
      <c r="AJ408" s="7" t="s">
        <v>2593</v>
      </c>
      <c r="AK408" s="7"/>
      <c r="AL408" s="7" t="s">
        <v>2690</v>
      </c>
      <c r="AM408" s="7"/>
      <c r="AN408" s="7"/>
      <c r="AO408" s="7"/>
      <c r="AP408" s="7"/>
      <c r="AQ408" s="8"/>
      <c r="AR408" s="9" t="n">
        <f aca="false">IFERROR(VLOOKUP($X408,Lotes!$A:$E,5,FALSE())*$U408,"")</f>
        <v>89998</v>
      </c>
      <c r="AS408" s="9" t="n">
        <f aca="false">IF($L408="","",$L408*2.6)</f>
        <v>234002.6</v>
      </c>
      <c r="AT408" s="9" t="n">
        <v>2481512.605</v>
      </c>
      <c r="AU408" s="9"/>
      <c r="AV408" s="9"/>
      <c r="AW408" s="9"/>
      <c r="AX408" s="7"/>
      <c r="AY408" s="7"/>
      <c r="AZ408" s="7" t="s">
        <v>2685</v>
      </c>
      <c r="BA408" s="7" t="s">
        <v>2691</v>
      </c>
      <c r="BB408" s="7" t="s">
        <v>2692</v>
      </c>
      <c r="BC408" s="11" t="s">
        <v>2693</v>
      </c>
      <c r="BD408" s="7" t="s">
        <v>2598</v>
      </c>
      <c r="BE408" s="11"/>
    </row>
    <row r="409" customFormat="false" ht="15" hidden="false" customHeight="false" outlineLevel="0" collapsed="false">
      <c r="A409" s="6" t="n">
        <v>409</v>
      </c>
      <c r="B409" s="7"/>
      <c r="C409" s="7" t="s">
        <v>1422</v>
      </c>
      <c r="D409" s="8"/>
      <c r="E409" s="7"/>
      <c r="F409" s="7" t="s">
        <v>148</v>
      </c>
      <c r="G409" s="6" t="n">
        <v>1</v>
      </c>
      <c r="H409" s="7"/>
      <c r="I409" s="7"/>
      <c r="J409" s="7"/>
      <c r="K409" s="7" t="s">
        <v>2545</v>
      </c>
      <c r="L409" s="9" t="n">
        <v>110000</v>
      </c>
      <c r="M409" s="9" t="n">
        <v>275000</v>
      </c>
      <c r="N409" s="9"/>
      <c r="O409" s="7"/>
      <c r="P409" s="7"/>
      <c r="Q409" s="7" t="s">
        <v>155</v>
      </c>
      <c r="R409" s="7" t="s">
        <v>2694</v>
      </c>
      <c r="S409" s="7"/>
      <c r="T409" s="7"/>
      <c r="U409" s="10" t="n">
        <v>0.3235</v>
      </c>
      <c r="V409" s="7"/>
      <c r="W409" s="7"/>
      <c r="X409" s="7" t="s">
        <v>2683</v>
      </c>
      <c r="Y409" s="12" t="b">
        <f aca="false">TRUE()</f>
        <v>1</v>
      </c>
      <c r="Z409" s="7"/>
      <c r="AA409" s="7"/>
      <c r="AB409" s="8"/>
      <c r="AC409" s="6"/>
      <c r="AD409" s="6"/>
      <c r="AE409" s="6"/>
      <c r="AF409" s="7" t="s">
        <v>1961</v>
      </c>
      <c r="AG409" s="7" t="s">
        <v>2398</v>
      </c>
      <c r="AH409" s="7" t="s">
        <v>1422</v>
      </c>
      <c r="AI409" s="7"/>
      <c r="AJ409" s="7" t="s">
        <v>2593</v>
      </c>
      <c r="AK409" s="7"/>
      <c r="AL409" s="7" t="s">
        <v>2695</v>
      </c>
      <c r="AM409" s="7"/>
      <c r="AN409" s="7"/>
      <c r="AO409" s="7"/>
      <c r="AP409" s="7"/>
      <c r="AQ409" s="8"/>
      <c r="AR409" s="9" t="n">
        <f aca="false">IFERROR(VLOOKUP($X409,Lotes!$A:$E,5,FALSE())*$U409,"")</f>
        <v>109990</v>
      </c>
      <c r="AS409" s="9" t="n">
        <f aca="false">IF($L409="","",$L409*2.6)</f>
        <v>286000</v>
      </c>
      <c r="AT409" s="9" t="n">
        <v>2410084.034</v>
      </c>
      <c r="AU409" s="9"/>
      <c r="AV409" s="9"/>
      <c r="AW409" s="9"/>
      <c r="AX409" s="7"/>
      <c r="AY409" s="7"/>
      <c r="AZ409" s="7" t="s">
        <v>2685</v>
      </c>
      <c r="BA409" s="7" t="s">
        <v>2696</v>
      </c>
      <c r="BB409" s="7" t="s">
        <v>2697</v>
      </c>
      <c r="BC409" s="11" t="s">
        <v>2698</v>
      </c>
      <c r="BD409" s="7" t="s">
        <v>2598</v>
      </c>
      <c r="BE409" s="11"/>
    </row>
    <row r="410" customFormat="false" ht="15" hidden="false" customHeight="false" outlineLevel="0" collapsed="false">
      <c r="A410" s="6" t="n">
        <v>410</v>
      </c>
      <c r="B410" s="7"/>
      <c r="C410" s="7" t="s">
        <v>2592</v>
      </c>
      <c r="D410" s="8"/>
      <c r="E410" s="7"/>
      <c r="F410" s="7" t="s">
        <v>148</v>
      </c>
      <c r="G410" s="6" t="n">
        <v>1</v>
      </c>
      <c r="H410" s="7"/>
      <c r="I410" s="7"/>
      <c r="J410" s="7"/>
      <c r="K410" s="7" t="s">
        <v>2545</v>
      </c>
      <c r="L410" s="9" t="n">
        <v>90000</v>
      </c>
      <c r="M410" s="9" t="n">
        <v>225000</v>
      </c>
      <c r="N410" s="9"/>
      <c r="O410" s="7"/>
      <c r="P410" s="7"/>
      <c r="Q410" s="7" t="s">
        <v>155</v>
      </c>
      <c r="R410" s="7" t="s">
        <v>2699</v>
      </c>
      <c r="S410" s="7"/>
      <c r="T410" s="7"/>
      <c r="U410" s="10" t="n">
        <v>0.6923</v>
      </c>
      <c r="V410" s="7"/>
      <c r="W410" s="7"/>
      <c r="X410" s="7" t="s">
        <v>2700</v>
      </c>
      <c r="Y410" s="12" t="b">
        <f aca="false">TRUE()</f>
        <v>1</v>
      </c>
      <c r="Z410" s="7"/>
      <c r="AA410" s="7"/>
      <c r="AB410" s="8"/>
      <c r="AC410" s="6"/>
      <c r="AD410" s="6"/>
      <c r="AE410" s="6"/>
      <c r="AF410" s="7"/>
      <c r="AG410" s="7" t="s">
        <v>2398</v>
      </c>
      <c r="AH410" s="7" t="s">
        <v>2592</v>
      </c>
      <c r="AI410" s="7"/>
      <c r="AJ410" s="7" t="s">
        <v>2593</v>
      </c>
      <c r="AK410" s="7"/>
      <c r="AL410" s="7" t="s">
        <v>2701</v>
      </c>
      <c r="AM410" s="7"/>
      <c r="AN410" s="7"/>
      <c r="AO410" s="7"/>
      <c r="AP410" s="7"/>
      <c r="AQ410" s="8"/>
      <c r="AR410" s="9" t="n">
        <f aca="false">IFERROR(VLOOKUP($X410,Lotes!$A:$E,5,FALSE())*$U410,"")</f>
        <v>89999</v>
      </c>
      <c r="AS410" s="9" t="n">
        <f aca="false">IF($L410="","",$L410*2.6)</f>
        <v>234000</v>
      </c>
      <c r="AT410" s="9" t="n">
        <v>2715709.034</v>
      </c>
      <c r="AU410" s="9"/>
      <c r="AV410" s="9"/>
      <c r="AW410" s="9"/>
      <c r="AX410" s="7"/>
      <c r="AY410" s="7"/>
      <c r="AZ410" s="7" t="s">
        <v>2702</v>
      </c>
      <c r="BA410" s="7" t="s">
        <v>2703</v>
      </c>
      <c r="BB410" s="7" t="s">
        <v>2704</v>
      </c>
      <c r="BC410" s="11" t="s">
        <v>2705</v>
      </c>
      <c r="BD410" s="7" t="s">
        <v>2598</v>
      </c>
      <c r="BE410" s="11"/>
    </row>
    <row r="411" customFormat="false" ht="15" hidden="false" customHeight="false" outlineLevel="0" collapsed="false">
      <c r="A411" s="6" t="n">
        <v>411</v>
      </c>
      <c r="B411" s="7"/>
      <c r="C411" s="7" t="s">
        <v>1148</v>
      </c>
      <c r="D411" s="8"/>
      <c r="E411" s="7"/>
      <c r="F411" s="7" t="s">
        <v>148</v>
      </c>
      <c r="G411" s="6" t="n">
        <v>1</v>
      </c>
      <c r="H411" s="7"/>
      <c r="I411" s="7"/>
      <c r="J411" s="7"/>
      <c r="K411" s="7" t="s">
        <v>2545</v>
      </c>
      <c r="L411" s="9" t="n">
        <v>40000</v>
      </c>
      <c r="M411" s="9" t="n">
        <v>100000</v>
      </c>
      <c r="N411" s="9"/>
      <c r="O411" s="7"/>
      <c r="P411" s="7"/>
      <c r="Q411" s="7" t="s">
        <v>155</v>
      </c>
      <c r="R411" s="7" t="s">
        <v>2706</v>
      </c>
      <c r="S411" s="7"/>
      <c r="T411" s="7"/>
      <c r="U411" s="10" t="n">
        <v>0.3077</v>
      </c>
      <c r="V411" s="7"/>
      <c r="W411" s="7"/>
      <c r="X411" s="7" t="s">
        <v>2700</v>
      </c>
      <c r="Y411" s="12" t="b">
        <f aca="false">TRUE()</f>
        <v>1</v>
      </c>
      <c r="Z411" s="7"/>
      <c r="AA411" s="7"/>
      <c r="AB411" s="8"/>
      <c r="AC411" s="6"/>
      <c r="AD411" s="6"/>
      <c r="AE411" s="6"/>
      <c r="AF411" s="7"/>
      <c r="AG411" s="7" t="s">
        <v>2398</v>
      </c>
      <c r="AH411" s="7" t="s">
        <v>1148</v>
      </c>
      <c r="AI411" s="7"/>
      <c r="AJ411" s="7" t="s">
        <v>2593</v>
      </c>
      <c r="AK411" s="7"/>
      <c r="AL411" s="7" t="s">
        <v>2707</v>
      </c>
      <c r="AM411" s="7"/>
      <c r="AN411" s="7"/>
      <c r="AO411" s="7"/>
      <c r="AP411" s="7"/>
      <c r="AQ411" s="8"/>
      <c r="AR411" s="9" t="n">
        <f aca="false">IFERROR(VLOOKUP($X411,Lotes!$A:$E,5,FALSE())*$U411,"")</f>
        <v>40001</v>
      </c>
      <c r="AS411" s="9" t="n">
        <f aca="false">IF($L411="","",$L411*2.6)</f>
        <v>104000</v>
      </c>
      <c r="AT411" s="9" t="n">
        <v>2481512.605</v>
      </c>
      <c r="AU411" s="9"/>
      <c r="AV411" s="9"/>
      <c r="AW411" s="9"/>
      <c r="AX411" s="7"/>
      <c r="AY411" s="7"/>
      <c r="AZ411" s="7" t="s">
        <v>2702</v>
      </c>
      <c r="BA411" s="7" t="s">
        <v>2708</v>
      </c>
      <c r="BB411" s="7" t="s">
        <v>2709</v>
      </c>
      <c r="BC411" s="11" t="s">
        <v>2710</v>
      </c>
      <c r="BD411" s="7" t="s">
        <v>2598</v>
      </c>
      <c r="BE411" s="11"/>
    </row>
    <row r="412" customFormat="false" ht="15" hidden="false" customHeight="false" outlineLevel="0" collapsed="false">
      <c r="A412" s="6" t="n">
        <v>412</v>
      </c>
      <c r="B412" s="7"/>
      <c r="C412" s="7" t="s">
        <v>2592</v>
      </c>
      <c r="D412" s="8"/>
      <c r="E412" s="7"/>
      <c r="F412" s="7" t="s">
        <v>148</v>
      </c>
      <c r="G412" s="6" t="n">
        <v>1</v>
      </c>
      <c r="H412" s="7"/>
      <c r="I412" s="7"/>
      <c r="J412" s="7"/>
      <c r="K412" s="7" t="s">
        <v>2545</v>
      </c>
      <c r="L412" s="9" t="n">
        <v>90000</v>
      </c>
      <c r="M412" s="9" t="n">
        <v>225000</v>
      </c>
      <c r="N412" s="9"/>
      <c r="O412" s="7"/>
      <c r="P412" s="7"/>
      <c r="Q412" s="7" t="s">
        <v>155</v>
      </c>
      <c r="R412" s="7" t="s">
        <v>2711</v>
      </c>
      <c r="S412" s="7"/>
      <c r="T412" s="7"/>
      <c r="U412" s="10" t="n">
        <v>0.3704</v>
      </c>
      <c r="V412" s="7"/>
      <c r="W412" s="7"/>
      <c r="X412" s="7" t="s">
        <v>2712</v>
      </c>
      <c r="Y412" s="12" t="b">
        <f aca="false">TRUE()</f>
        <v>1</v>
      </c>
      <c r="Z412" s="7"/>
      <c r="AA412" s="7"/>
      <c r="AB412" s="8"/>
      <c r="AC412" s="6"/>
      <c r="AD412" s="6"/>
      <c r="AE412" s="6"/>
      <c r="AF412" s="7"/>
      <c r="AG412" s="7" t="s">
        <v>2398</v>
      </c>
      <c r="AH412" s="7" t="s">
        <v>2592</v>
      </c>
      <c r="AI412" s="7"/>
      <c r="AJ412" s="7" t="s">
        <v>2593</v>
      </c>
      <c r="AK412" s="7"/>
      <c r="AL412" s="7" t="s">
        <v>2713</v>
      </c>
      <c r="AM412" s="7"/>
      <c r="AN412" s="7"/>
      <c r="AO412" s="7"/>
      <c r="AP412" s="7"/>
      <c r="AQ412" s="8"/>
      <c r="AR412" s="9" t="n">
        <f aca="false">IFERROR(VLOOKUP($X412,Lotes!$A:$E,5,FALSE())*$U412,"")</f>
        <v>90007.2</v>
      </c>
      <c r="AS412" s="9" t="n">
        <f aca="false">IF($L412="","",$L412*2.6)</f>
        <v>234000</v>
      </c>
      <c r="AT412" s="9" t="n">
        <v>2464369.748</v>
      </c>
      <c r="AU412" s="9"/>
      <c r="AV412" s="9"/>
      <c r="AW412" s="9"/>
      <c r="AX412" s="7"/>
      <c r="AY412" s="7"/>
      <c r="AZ412" s="7" t="s">
        <v>2714</v>
      </c>
      <c r="BA412" s="7" t="s">
        <v>2715</v>
      </c>
      <c r="BB412" s="7" t="s">
        <v>2716</v>
      </c>
      <c r="BC412" s="11" t="s">
        <v>2717</v>
      </c>
      <c r="BD412" s="7" t="s">
        <v>2598</v>
      </c>
      <c r="BE412" s="11"/>
    </row>
    <row r="413" customFormat="false" ht="15" hidden="false" customHeight="false" outlineLevel="0" collapsed="false">
      <c r="A413" s="6" t="n">
        <v>413</v>
      </c>
      <c r="B413" s="7"/>
      <c r="C413" s="7" t="s">
        <v>2629</v>
      </c>
      <c r="D413" s="8"/>
      <c r="E413" s="7"/>
      <c r="F413" s="7" t="s">
        <v>148</v>
      </c>
      <c r="G413" s="6" t="n">
        <v>1</v>
      </c>
      <c r="H413" s="7"/>
      <c r="I413" s="7"/>
      <c r="J413" s="7"/>
      <c r="K413" s="7" t="s">
        <v>2545</v>
      </c>
      <c r="L413" s="9" t="n">
        <v>78001</v>
      </c>
      <c r="M413" s="9" t="n">
        <v>195000</v>
      </c>
      <c r="N413" s="9"/>
      <c r="O413" s="7"/>
      <c r="P413" s="7"/>
      <c r="Q413" s="7" t="s">
        <v>155</v>
      </c>
      <c r="R413" s="7" t="s">
        <v>2718</v>
      </c>
      <c r="S413" s="7"/>
      <c r="T413" s="7"/>
      <c r="U413" s="10" t="n">
        <v>0.321</v>
      </c>
      <c r="V413" s="7"/>
      <c r="W413" s="7"/>
      <c r="X413" s="7" t="s">
        <v>2712</v>
      </c>
      <c r="Y413" s="12" t="b">
        <f aca="false">TRUE()</f>
        <v>1</v>
      </c>
      <c r="Z413" s="7"/>
      <c r="AA413" s="7"/>
      <c r="AB413" s="8"/>
      <c r="AC413" s="6"/>
      <c r="AD413" s="6"/>
      <c r="AE413" s="6"/>
      <c r="AF413" s="7"/>
      <c r="AG413" s="7" t="s">
        <v>2398</v>
      </c>
      <c r="AH413" s="7" t="s">
        <v>2406</v>
      </c>
      <c r="AI413" s="7"/>
      <c r="AJ413" s="7" t="s">
        <v>2593</v>
      </c>
      <c r="AK413" s="7"/>
      <c r="AL413" s="7" t="s">
        <v>2719</v>
      </c>
      <c r="AM413" s="7"/>
      <c r="AN413" s="7"/>
      <c r="AO413" s="7"/>
      <c r="AP413" s="7"/>
      <c r="AQ413" s="8"/>
      <c r="AR413" s="9" t="n">
        <f aca="false">IFERROR(VLOOKUP($X413,Lotes!$A:$E,5,FALSE())*$U413,"")</f>
        <v>78003</v>
      </c>
      <c r="AS413" s="9" t="n">
        <f aca="false">IF($L413="","",$L413*2.6)</f>
        <v>202802.6</v>
      </c>
      <c r="AT413" s="9" t="n">
        <v>2475709.034</v>
      </c>
      <c r="AU413" s="9"/>
      <c r="AV413" s="9"/>
      <c r="AW413" s="9"/>
      <c r="AX413" s="7"/>
      <c r="AY413" s="7"/>
      <c r="AZ413" s="7" t="s">
        <v>2714</v>
      </c>
      <c r="BA413" s="7" t="s">
        <v>2720</v>
      </c>
      <c r="BB413" s="7" t="s">
        <v>2721</v>
      </c>
      <c r="BC413" s="11" t="s">
        <v>2722</v>
      </c>
      <c r="BD413" s="7" t="s">
        <v>2598</v>
      </c>
      <c r="BE413" s="11"/>
    </row>
    <row r="414" customFormat="false" ht="15" hidden="false" customHeight="false" outlineLevel="0" collapsed="false">
      <c r="A414" s="6" t="n">
        <v>414</v>
      </c>
      <c r="B414" s="7"/>
      <c r="C414" s="7" t="s">
        <v>1148</v>
      </c>
      <c r="D414" s="8"/>
      <c r="E414" s="7"/>
      <c r="F414" s="7" t="s">
        <v>148</v>
      </c>
      <c r="G414" s="6" t="n">
        <v>1</v>
      </c>
      <c r="H414" s="7"/>
      <c r="I414" s="7"/>
      <c r="J414" s="7"/>
      <c r="K414" s="7" t="s">
        <v>2545</v>
      </c>
      <c r="L414" s="9" t="n">
        <v>75000</v>
      </c>
      <c r="M414" s="9" t="n">
        <v>187500</v>
      </c>
      <c r="N414" s="9"/>
      <c r="O414" s="7"/>
      <c r="P414" s="7"/>
      <c r="Q414" s="7" t="s">
        <v>155</v>
      </c>
      <c r="R414" s="7" t="s">
        <v>2723</v>
      </c>
      <c r="S414" s="7"/>
      <c r="T414" s="7"/>
      <c r="U414" s="10" t="n">
        <v>0.3086</v>
      </c>
      <c r="V414" s="7"/>
      <c r="W414" s="7"/>
      <c r="X414" s="7" t="s">
        <v>2712</v>
      </c>
      <c r="Y414" s="12" t="b">
        <f aca="false">TRUE()</f>
        <v>1</v>
      </c>
      <c r="Z414" s="7"/>
      <c r="AA414" s="7"/>
      <c r="AB414" s="8"/>
      <c r="AC414" s="6"/>
      <c r="AD414" s="6"/>
      <c r="AE414" s="6"/>
      <c r="AF414" s="7" t="s">
        <v>1961</v>
      </c>
      <c r="AG414" s="7" t="s">
        <v>2398</v>
      </c>
      <c r="AH414" s="7" t="s">
        <v>1148</v>
      </c>
      <c r="AI414" s="7"/>
      <c r="AJ414" s="7" t="s">
        <v>2593</v>
      </c>
      <c r="AK414" s="7"/>
      <c r="AL414" s="7" t="s">
        <v>2724</v>
      </c>
      <c r="AM414" s="7"/>
      <c r="AN414" s="7"/>
      <c r="AO414" s="7"/>
      <c r="AP414" s="7"/>
      <c r="AQ414" s="8"/>
      <c r="AR414" s="9" t="n">
        <f aca="false">IFERROR(VLOOKUP($X414,Lotes!$A:$E,5,FALSE())*$U414,"")</f>
        <v>74989.8</v>
      </c>
      <c r="AS414" s="9" t="n">
        <f aca="false">IF($L414="","",$L414*2.6)</f>
        <v>195000</v>
      </c>
      <c r="AT414" s="9"/>
      <c r="AU414" s="9"/>
      <c r="AV414" s="9"/>
      <c r="AW414" s="9"/>
      <c r="AX414" s="7"/>
      <c r="AY414" s="7"/>
      <c r="AZ414" s="7" t="s">
        <v>2714</v>
      </c>
      <c r="BA414" s="7" t="s">
        <v>2725</v>
      </c>
      <c r="BB414" s="7" t="s">
        <v>2726</v>
      </c>
      <c r="BC414" s="11" t="s">
        <v>2727</v>
      </c>
      <c r="BD414" s="7" t="s">
        <v>2598</v>
      </c>
      <c r="BE414" s="11"/>
    </row>
    <row r="415" customFormat="false" ht="15" hidden="false" customHeight="false" outlineLevel="0" collapsed="false">
      <c r="A415" s="6" t="n">
        <v>415</v>
      </c>
      <c r="B415" s="7"/>
      <c r="C415" s="7" t="s">
        <v>2592</v>
      </c>
      <c r="D415" s="8"/>
      <c r="E415" s="7"/>
      <c r="F415" s="7" t="s">
        <v>148</v>
      </c>
      <c r="G415" s="6" t="n">
        <v>1</v>
      </c>
      <c r="H415" s="7"/>
      <c r="I415" s="7"/>
      <c r="J415" s="7"/>
      <c r="K415" s="7" t="s">
        <v>2545</v>
      </c>
      <c r="L415" s="9" t="n">
        <v>55000</v>
      </c>
      <c r="M415" s="9" t="n">
        <v>137500</v>
      </c>
      <c r="N415" s="9"/>
      <c r="O415" s="7"/>
      <c r="P415" s="7"/>
      <c r="Q415" s="7" t="s">
        <v>155</v>
      </c>
      <c r="R415" s="7" t="s">
        <v>2728</v>
      </c>
      <c r="S415" s="7"/>
      <c r="T415" s="7"/>
      <c r="U415" s="10" t="n">
        <v>0.5</v>
      </c>
      <c r="V415" s="7"/>
      <c r="W415" s="7"/>
      <c r="X415" s="7" t="s">
        <v>2729</v>
      </c>
      <c r="Y415" s="12" t="b">
        <f aca="false">TRUE()</f>
        <v>1</v>
      </c>
      <c r="Z415" s="7"/>
      <c r="AA415" s="7"/>
      <c r="AB415" s="8"/>
      <c r="AC415" s="6"/>
      <c r="AD415" s="6"/>
      <c r="AE415" s="6"/>
      <c r="AF415" s="7" t="s">
        <v>1961</v>
      </c>
      <c r="AG415" s="7" t="s">
        <v>2398</v>
      </c>
      <c r="AH415" s="7" t="s">
        <v>2592</v>
      </c>
      <c r="AI415" s="7"/>
      <c r="AJ415" s="7" t="s">
        <v>2593</v>
      </c>
      <c r="AK415" s="7"/>
      <c r="AL415" s="7" t="s">
        <v>2730</v>
      </c>
      <c r="AM415" s="7"/>
      <c r="AN415" s="7"/>
      <c r="AO415" s="7"/>
      <c r="AP415" s="7"/>
      <c r="AQ415" s="8"/>
      <c r="AR415" s="9" t="n">
        <f aca="false">IFERROR(VLOOKUP($X415,Lotes!$A:$E,5,FALSE())*$U415,"")</f>
        <v>55000</v>
      </c>
      <c r="AS415" s="9" t="n">
        <f aca="false">IF($L415="","",$L415*2.6)</f>
        <v>143000</v>
      </c>
      <c r="AT415" s="9" t="n">
        <v>2431512.605</v>
      </c>
      <c r="AU415" s="9"/>
      <c r="AV415" s="9"/>
      <c r="AW415" s="9"/>
      <c r="AX415" s="7"/>
      <c r="AY415" s="7"/>
      <c r="AZ415" s="7" t="s">
        <v>2731</v>
      </c>
      <c r="BA415" s="7" t="s">
        <v>2732</v>
      </c>
      <c r="BB415" s="7" t="s">
        <v>2733</v>
      </c>
      <c r="BC415" s="11" t="s">
        <v>2734</v>
      </c>
      <c r="BD415" s="7" t="s">
        <v>2598</v>
      </c>
      <c r="BE415" s="11"/>
    </row>
    <row r="416" customFormat="false" ht="15" hidden="false" customHeight="false" outlineLevel="0" collapsed="false">
      <c r="A416" s="6" t="n">
        <v>416</v>
      </c>
      <c r="B416" s="7"/>
      <c r="C416" s="7" t="s">
        <v>1148</v>
      </c>
      <c r="D416" s="8"/>
      <c r="E416" s="7"/>
      <c r="F416" s="7" t="s">
        <v>148</v>
      </c>
      <c r="G416" s="6" t="n">
        <v>1</v>
      </c>
      <c r="H416" s="7"/>
      <c r="I416" s="7"/>
      <c r="J416" s="7"/>
      <c r="K416" s="7" t="s">
        <v>2545</v>
      </c>
      <c r="L416" s="9" t="n">
        <v>55000</v>
      </c>
      <c r="M416" s="9" t="n">
        <v>137500</v>
      </c>
      <c r="N416" s="9"/>
      <c r="O416" s="7"/>
      <c r="P416" s="7"/>
      <c r="Q416" s="7" t="s">
        <v>155</v>
      </c>
      <c r="R416" s="7" t="s">
        <v>2735</v>
      </c>
      <c r="S416" s="7"/>
      <c r="T416" s="7"/>
      <c r="U416" s="10" t="n">
        <v>0.5</v>
      </c>
      <c r="V416" s="7"/>
      <c r="W416" s="7"/>
      <c r="X416" s="7" t="s">
        <v>2729</v>
      </c>
      <c r="Y416" s="12" t="b">
        <f aca="false">TRUE()</f>
        <v>1</v>
      </c>
      <c r="Z416" s="7"/>
      <c r="AA416" s="7"/>
      <c r="AB416" s="8"/>
      <c r="AC416" s="6"/>
      <c r="AD416" s="6"/>
      <c r="AE416" s="6"/>
      <c r="AF416" s="7" t="s">
        <v>1961</v>
      </c>
      <c r="AG416" s="7" t="s">
        <v>2398</v>
      </c>
      <c r="AH416" s="7" t="s">
        <v>1148</v>
      </c>
      <c r="AI416" s="7"/>
      <c r="AJ416" s="7" t="s">
        <v>2593</v>
      </c>
      <c r="AK416" s="7"/>
      <c r="AL416" s="7" t="s">
        <v>2736</v>
      </c>
      <c r="AM416" s="7"/>
      <c r="AN416" s="7"/>
      <c r="AO416" s="7"/>
      <c r="AP416" s="7"/>
      <c r="AQ416" s="8"/>
      <c r="AR416" s="9" t="n">
        <f aca="false">IFERROR(VLOOKUP($X416,Lotes!$A:$E,5,FALSE())*$U416,"")</f>
        <v>55000</v>
      </c>
      <c r="AS416" s="9" t="n">
        <f aca="false">IF($L416="","",$L416*2.6)</f>
        <v>143000</v>
      </c>
      <c r="AT416" s="9" t="n">
        <v>2431512.605</v>
      </c>
      <c r="AU416" s="9"/>
      <c r="AV416" s="9"/>
      <c r="AW416" s="9"/>
      <c r="AX416" s="7"/>
      <c r="AY416" s="7"/>
      <c r="AZ416" s="7" t="s">
        <v>2731</v>
      </c>
      <c r="BA416" s="7" t="s">
        <v>2737</v>
      </c>
      <c r="BB416" s="7" t="s">
        <v>2738</v>
      </c>
      <c r="BC416" s="11" t="s">
        <v>2739</v>
      </c>
      <c r="BD416" s="7" t="s">
        <v>2598</v>
      </c>
      <c r="BE416" s="11"/>
    </row>
    <row r="417" customFormat="false" ht="15" hidden="false" customHeight="false" outlineLevel="0" collapsed="false">
      <c r="A417" s="6" t="n">
        <v>417</v>
      </c>
      <c r="B417" s="7"/>
      <c r="C417" s="7" t="s">
        <v>2740</v>
      </c>
      <c r="D417" s="8"/>
      <c r="E417" s="7"/>
      <c r="F417" s="7" t="s">
        <v>148</v>
      </c>
      <c r="G417" s="6" t="n">
        <v>1</v>
      </c>
      <c r="H417" s="7"/>
      <c r="I417" s="7"/>
      <c r="J417" s="7"/>
      <c r="K417" s="7" t="s">
        <v>2545</v>
      </c>
      <c r="L417" s="9" t="n">
        <v>150000</v>
      </c>
      <c r="M417" s="9" t="n">
        <v>375000</v>
      </c>
      <c r="N417" s="9"/>
      <c r="O417" s="7"/>
      <c r="P417" s="7"/>
      <c r="Q417" s="7" t="s">
        <v>155</v>
      </c>
      <c r="R417" s="7" t="s">
        <v>2741</v>
      </c>
      <c r="S417" s="7"/>
      <c r="T417" s="7"/>
      <c r="U417" s="10" t="n">
        <v>1</v>
      </c>
      <c r="V417" s="7"/>
      <c r="W417" s="7"/>
      <c r="X417" s="7" t="s">
        <v>2742</v>
      </c>
      <c r="Y417" s="12" t="b">
        <f aca="false">TRUE()</f>
        <v>1</v>
      </c>
      <c r="Z417" s="7"/>
      <c r="AA417" s="7"/>
      <c r="AB417" s="8"/>
      <c r="AC417" s="6"/>
      <c r="AD417" s="6"/>
      <c r="AE417" s="6"/>
      <c r="AF417" s="7" t="s">
        <v>1961</v>
      </c>
      <c r="AG417" s="7" t="s">
        <v>2398</v>
      </c>
      <c r="AH417" s="7" t="s">
        <v>2592</v>
      </c>
      <c r="AI417" s="7"/>
      <c r="AJ417" s="7" t="s">
        <v>2593</v>
      </c>
      <c r="AK417" s="7"/>
      <c r="AL417" s="7" t="s">
        <v>2743</v>
      </c>
      <c r="AM417" s="7"/>
      <c r="AN417" s="7"/>
      <c r="AO417" s="7"/>
      <c r="AP417" s="7"/>
      <c r="AQ417" s="8"/>
      <c r="AR417" s="9" t="n">
        <f aca="false">IFERROR(VLOOKUP($X417,Lotes!$A:$E,5,FALSE())*$U417,"")</f>
        <v>150000</v>
      </c>
      <c r="AS417" s="9" t="n">
        <f aca="false">IF($L417="","",$L417*2.6)</f>
        <v>390000</v>
      </c>
      <c r="AT417" s="9" t="n">
        <v>2582851.891</v>
      </c>
      <c r="AU417" s="9"/>
      <c r="AV417" s="9"/>
      <c r="AW417" s="9"/>
      <c r="AX417" s="7"/>
      <c r="AY417" s="7"/>
      <c r="AZ417" s="7"/>
      <c r="BA417" s="7" t="s">
        <v>2744</v>
      </c>
      <c r="BB417" s="7" t="s">
        <v>2745</v>
      </c>
      <c r="BC417" s="11" t="s">
        <v>2746</v>
      </c>
      <c r="BD417" s="7" t="s">
        <v>2598</v>
      </c>
      <c r="BE417" s="11"/>
    </row>
    <row r="418" customFormat="false" ht="15" hidden="false" customHeight="false" outlineLevel="0" collapsed="false">
      <c r="A418" s="6" t="n">
        <v>418</v>
      </c>
      <c r="B418" s="7"/>
      <c r="C418" s="7" t="s">
        <v>2747</v>
      </c>
      <c r="D418" s="8"/>
      <c r="E418" s="7"/>
      <c r="F418" s="7" t="s">
        <v>148</v>
      </c>
      <c r="G418" s="6" t="n">
        <v>1</v>
      </c>
      <c r="H418" s="7"/>
      <c r="I418" s="7"/>
      <c r="J418" s="7"/>
      <c r="K418" s="7" t="s">
        <v>2545</v>
      </c>
      <c r="L418" s="9" t="n">
        <v>1230000</v>
      </c>
      <c r="M418" s="9" t="n">
        <v>3075000</v>
      </c>
      <c r="N418" s="9"/>
      <c r="O418" s="7"/>
      <c r="P418" s="7"/>
      <c r="Q418" s="7" t="s">
        <v>155</v>
      </c>
      <c r="R418" s="7" t="s">
        <v>2748</v>
      </c>
      <c r="S418" s="7"/>
      <c r="T418" s="7"/>
      <c r="U418" s="10" t="n">
        <v>1</v>
      </c>
      <c r="V418" s="7"/>
      <c r="W418" s="7"/>
      <c r="X418" s="7" t="s">
        <v>2749</v>
      </c>
      <c r="Y418" s="12" t="b">
        <f aca="false">TRUE()</f>
        <v>1</v>
      </c>
      <c r="Z418" s="7"/>
      <c r="AA418" s="7"/>
      <c r="AB418" s="8"/>
      <c r="AC418" s="6"/>
      <c r="AD418" s="6"/>
      <c r="AE418" s="6"/>
      <c r="AF418" s="7" t="s">
        <v>158</v>
      </c>
      <c r="AG418" s="7" t="s">
        <v>2398</v>
      </c>
      <c r="AH418" s="7" t="s">
        <v>1148</v>
      </c>
      <c r="AI418" s="7"/>
      <c r="AJ418" s="7" t="s">
        <v>2593</v>
      </c>
      <c r="AK418" s="7"/>
      <c r="AL418" s="7" t="s">
        <v>2750</v>
      </c>
      <c r="AM418" s="7"/>
      <c r="AN418" s="7"/>
      <c r="AO418" s="7"/>
      <c r="AP418" s="7"/>
      <c r="AQ418" s="8"/>
      <c r="AR418" s="9" t="n">
        <f aca="false">IFERROR(VLOOKUP($X418,Lotes!$A:$E,5,FALSE())*$U418,"")</f>
        <v>1230000</v>
      </c>
      <c r="AS418" s="9" t="n">
        <f aca="false">IF($L418="","",$L418*2.6)</f>
        <v>3198000</v>
      </c>
      <c r="AT418" s="9" t="n">
        <v>4110084.034</v>
      </c>
      <c r="AU418" s="9"/>
      <c r="AV418" s="9"/>
      <c r="AW418" s="9"/>
      <c r="AX418" s="7"/>
      <c r="AY418" s="7"/>
      <c r="AZ418" s="7"/>
      <c r="BA418" s="7" t="s">
        <v>2751</v>
      </c>
      <c r="BB418" s="7" t="s">
        <v>2752</v>
      </c>
      <c r="BC418" s="11" t="s">
        <v>2753</v>
      </c>
      <c r="BD418" s="7" t="s">
        <v>2598</v>
      </c>
      <c r="BE418" s="11"/>
    </row>
    <row r="419" customFormat="false" ht="23.85" hidden="false" customHeight="false" outlineLevel="0" collapsed="false">
      <c r="A419" s="6" t="n">
        <v>419</v>
      </c>
      <c r="B419" s="7"/>
      <c r="C419" s="7" t="s">
        <v>2754</v>
      </c>
      <c r="D419" s="8"/>
      <c r="E419" s="7"/>
      <c r="F419" s="7" t="s">
        <v>2087</v>
      </c>
      <c r="G419" s="6" t="n">
        <v>1</v>
      </c>
      <c r="H419" s="7"/>
      <c r="I419" s="7"/>
      <c r="J419" s="7"/>
      <c r="K419" s="7" t="s">
        <v>907</v>
      </c>
      <c r="L419" s="9"/>
      <c r="M419" s="9"/>
      <c r="N419" s="9"/>
      <c r="O419" s="7"/>
      <c r="P419" s="7" t="s">
        <v>1032</v>
      </c>
      <c r="Q419" s="7" t="s">
        <v>1033</v>
      </c>
      <c r="R419" s="7" t="s">
        <v>2755</v>
      </c>
      <c r="S419" s="7"/>
      <c r="T419" s="7"/>
      <c r="U419" s="10"/>
      <c r="V419" s="7" t="s">
        <v>1032</v>
      </c>
      <c r="W419" s="7" t="s">
        <v>1033</v>
      </c>
      <c r="X419" s="7"/>
      <c r="Y419" s="7"/>
      <c r="Z419" s="7"/>
      <c r="AA419" s="7"/>
      <c r="AB419" s="8"/>
      <c r="AC419" s="6"/>
      <c r="AD419" s="6"/>
      <c r="AE419" s="6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8"/>
      <c r="AR419" s="9" t="str">
        <f aca="false">IFERROR(VLOOKUP($X419,Lotes!$A:$E,5,FALSE())*$U419,"")</f>
        <v/>
      </c>
      <c r="AS419" s="9" t="str">
        <f aca="false">IF($L419="","",$L419*2.6)</f>
        <v/>
      </c>
      <c r="AT419" s="9"/>
      <c r="AU419" s="9"/>
      <c r="AV419" s="9"/>
      <c r="AW419" s="9"/>
      <c r="AX419" s="7"/>
      <c r="AY419" s="7"/>
      <c r="AZ419" s="7"/>
      <c r="BA419" s="7" t="s">
        <v>2756</v>
      </c>
      <c r="BB419" s="7" t="s">
        <v>2757</v>
      </c>
      <c r="BC419" s="11" t="s">
        <v>2758</v>
      </c>
      <c r="BD419" s="7" t="s">
        <v>2759</v>
      </c>
      <c r="BE419" s="11"/>
    </row>
    <row r="420" customFormat="false" ht="15" hidden="false" customHeight="false" outlineLevel="0" collapsed="false">
      <c r="A420" s="6" t="n">
        <v>420</v>
      </c>
      <c r="B420" s="7"/>
      <c r="C420" s="7" t="s">
        <v>2760</v>
      </c>
      <c r="D420" s="8"/>
      <c r="E420" s="7"/>
      <c r="F420" s="7" t="s">
        <v>2087</v>
      </c>
      <c r="G420" s="6" t="n">
        <v>1</v>
      </c>
      <c r="H420" s="7"/>
      <c r="I420" s="7"/>
      <c r="J420" s="7"/>
      <c r="K420" s="7" t="s">
        <v>2761</v>
      </c>
      <c r="L420" s="9"/>
      <c r="M420" s="9"/>
      <c r="N420" s="9"/>
      <c r="O420" s="7"/>
      <c r="P420" s="7" t="s">
        <v>1032</v>
      </c>
      <c r="Q420" s="7" t="s">
        <v>1033</v>
      </c>
      <c r="R420" s="7" t="s">
        <v>2762</v>
      </c>
      <c r="S420" s="7"/>
      <c r="T420" s="7"/>
      <c r="U420" s="10"/>
      <c r="V420" s="7" t="s">
        <v>1032</v>
      </c>
      <c r="W420" s="7" t="s">
        <v>1033</v>
      </c>
      <c r="X420" s="7"/>
      <c r="Y420" s="7"/>
      <c r="Z420" s="7"/>
      <c r="AA420" s="7"/>
      <c r="AB420" s="8"/>
      <c r="AC420" s="6"/>
      <c r="AD420" s="6"/>
      <c r="AE420" s="6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8"/>
      <c r="AR420" s="9" t="str">
        <f aca="false">IFERROR(VLOOKUP($X420,Lotes!$A:$E,5,FALSE())*$U420,"")</f>
        <v/>
      </c>
      <c r="AS420" s="9" t="str">
        <f aca="false">IF($L420="","",$L420*2.6)</f>
        <v/>
      </c>
      <c r="AT420" s="9"/>
      <c r="AU420" s="9"/>
      <c r="AV420" s="9"/>
      <c r="AW420" s="9"/>
      <c r="AX420" s="7"/>
      <c r="AY420" s="7"/>
      <c r="AZ420" s="7"/>
      <c r="BA420" s="7" t="s">
        <v>2763</v>
      </c>
      <c r="BB420" s="7" t="s">
        <v>2764</v>
      </c>
      <c r="BC420" s="11" t="s">
        <v>2765</v>
      </c>
      <c r="BD420" s="7" t="s">
        <v>2759</v>
      </c>
      <c r="BE420" s="11"/>
    </row>
    <row r="421" customFormat="false" ht="23.85" hidden="false" customHeight="false" outlineLevel="0" collapsed="false">
      <c r="A421" s="6" t="n">
        <v>421</v>
      </c>
      <c r="B421" s="7"/>
      <c r="C421" s="7" t="s">
        <v>2766</v>
      </c>
      <c r="D421" s="8"/>
      <c r="E421" s="7"/>
      <c r="F421" s="7" t="s">
        <v>2087</v>
      </c>
      <c r="G421" s="6" t="n">
        <v>1</v>
      </c>
      <c r="H421" s="7"/>
      <c r="I421" s="7"/>
      <c r="J421" s="7"/>
      <c r="K421" s="7" t="s">
        <v>907</v>
      </c>
      <c r="L421" s="9"/>
      <c r="M421" s="9"/>
      <c r="N421" s="9"/>
      <c r="O421" s="7"/>
      <c r="P421" s="7" t="s">
        <v>2767</v>
      </c>
      <c r="Q421" s="7" t="s">
        <v>1033</v>
      </c>
      <c r="R421" s="7" t="s">
        <v>2768</v>
      </c>
      <c r="S421" s="7"/>
      <c r="T421" s="7"/>
      <c r="U421" s="10"/>
      <c r="V421" s="7" t="s">
        <v>2767</v>
      </c>
      <c r="W421" s="7" t="s">
        <v>1033</v>
      </c>
      <c r="X421" s="7"/>
      <c r="Y421" s="7"/>
      <c r="Z421" s="7"/>
      <c r="AA421" s="7"/>
      <c r="AB421" s="8"/>
      <c r="AC421" s="6"/>
      <c r="AD421" s="6"/>
      <c r="AE421" s="6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8"/>
      <c r="AR421" s="9" t="str">
        <f aca="false">IFERROR(VLOOKUP($X421,Lotes!$A:$E,5,FALSE())*$U421,"")</f>
        <v/>
      </c>
      <c r="AS421" s="9" t="str">
        <f aca="false">IF($L421="","",$L421*2.6)</f>
        <v/>
      </c>
      <c r="AT421" s="9"/>
      <c r="AU421" s="9"/>
      <c r="AV421" s="9"/>
      <c r="AW421" s="9"/>
      <c r="AX421" s="7"/>
      <c r="AY421" s="7"/>
      <c r="AZ421" s="7"/>
      <c r="BA421" s="7" t="s">
        <v>2769</v>
      </c>
      <c r="BB421" s="7" t="s">
        <v>2770</v>
      </c>
      <c r="BC421" s="11" t="s">
        <v>2771</v>
      </c>
      <c r="BD421" s="7" t="s">
        <v>2759</v>
      </c>
      <c r="BE421" s="11"/>
    </row>
    <row r="422" customFormat="false" ht="23.85" hidden="false" customHeight="false" outlineLevel="0" collapsed="false">
      <c r="A422" s="6" t="n">
        <v>422</v>
      </c>
      <c r="B422" s="7"/>
      <c r="C422" s="7" t="s">
        <v>2772</v>
      </c>
      <c r="D422" s="8"/>
      <c r="E422" s="7"/>
      <c r="F422" s="7" t="s">
        <v>2087</v>
      </c>
      <c r="G422" s="6" t="n">
        <v>1</v>
      </c>
      <c r="H422" s="7"/>
      <c r="I422" s="7"/>
      <c r="J422" s="7"/>
      <c r="K422" s="7" t="s">
        <v>907</v>
      </c>
      <c r="L422" s="9"/>
      <c r="M422" s="9"/>
      <c r="N422" s="9"/>
      <c r="O422" s="7"/>
      <c r="P422" s="7" t="s">
        <v>2767</v>
      </c>
      <c r="Q422" s="7" t="s">
        <v>1033</v>
      </c>
      <c r="R422" s="7" t="s">
        <v>2773</v>
      </c>
      <c r="S422" s="7"/>
      <c r="T422" s="7"/>
      <c r="U422" s="10"/>
      <c r="V422" s="7" t="s">
        <v>2767</v>
      </c>
      <c r="W422" s="7" t="s">
        <v>1033</v>
      </c>
      <c r="X422" s="7"/>
      <c r="Y422" s="7"/>
      <c r="Z422" s="7"/>
      <c r="AA422" s="7"/>
      <c r="AB422" s="8"/>
      <c r="AC422" s="6"/>
      <c r="AD422" s="6"/>
      <c r="AE422" s="6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8"/>
      <c r="AR422" s="9" t="str">
        <f aca="false">IFERROR(VLOOKUP($X422,Lotes!$A:$E,5,FALSE())*$U422,"")</f>
        <v/>
      </c>
      <c r="AS422" s="9" t="str">
        <f aca="false">IF($L422="","",$L422*2.6)</f>
        <v/>
      </c>
      <c r="AT422" s="9"/>
      <c r="AU422" s="9"/>
      <c r="AV422" s="9"/>
      <c r="AW422" s="9"/>
      <c r="AX422" s="7"/>
      <c r="AY422" s="7"/>
      <c r="AZ422" s="7"/>
      <c r="BA422" s="7" t="s">
        <v>2774</v>
      </c>
      <c r="BB422" s="7" t="s">
        <v>2775</v>
      </c>
      <c r="BC422" s="11" t="s">
        <v>2776</v>
      </c>
      <c r="BD422" s="7" t="s">
        <v>2759</v>
      </c>
      <c r="BE422" s="11"/>
    </row>
    <row r="423" customFormat="false" ht="23.85" hidden="false" customHeight="false" outlineLevel="0" collapsed="false">
      <c r="A423" s="6" t="n">
        <v>423</v>
      </c>
      <c r="B423" s="7"/>
      <c r="C423" s="7" t="s">
        <v>2777</v>
      </c>
      <c r="D423" s="8"/>
      <c r="E423" s="7"/>
      <c r="F423" s="7" t="s">
        <v>2087</v>
      </c>
      <c r="G423" s="6" t="n">
        <v>1</v>
      </c>
      <c r="H423" s="7"/>
      <c r="I423" s="7"/>
      <c r="J423" s="7"/>
      <c r="K423" s="7" t="s">
        <v>907</v>
      </c>
      <c r="L423" s="9"/>
      <c r="M423" s="9"/>
      <c r="N423" s="9"/>
      <c r="O423" s="7"/>
      <c r="P423" s="7" t="s">
        <v>2767</v>
      </c>
      <c r="Q423" s="7" t="s">
        <v>1033</v>
      </c>
      <c r="R423" s="7" t="s">
        <v>2778</v>
      </c>
      <c r="S423" s="7"/>
      <c r="T423" s="7"/>
      <c r="U423" s="10"/>
      <c r="V423" s="7" t="s">
        <v>2767</v>
      </c>
      <c r="W423" s="7" t="s">
        <v>1033</v>
      </c>
      <c r="X423" s="7"/>
      <c r="Y423" s="7"/>
      <c r="Z423" s="7"/>
      <c r="AA423" s="7"/>
      <c r="AB423" s="8"/>
      <c r="AC423" s="6"/>
      <c r="AD423" s="6"/>
      <c r="AE423" s="6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8"/>
      <c r="AR423" s="9" t="str">
        <f aca="false">IFERROR(VLOOKUP($X423,Lotes!$A:$E,5,FALSE())*$U423,"")</f>
        <v/>
      </c>
      <c r="AS423" s="9" t="str">
        <f aca="false">IF($L423="","",$L423*2.6)</f>
        <v/>
      </c>
      <c r="AT423" s="9"/>
      <c r="AU423" s="9"/>
      <c r="AV423" s="9"/>
      <c r="AW423" s="9"/>
      <c r="AX423" s="7"/>
      <c r="AY423" s="7"/>
      <c r="AZ423" s="7"/>
      <c r="BA423" s="7" t="s">
        <v>2779</v>
      </c>
      <c r="BB423" s="7" t="s">
        <v>2780</v>
      </c>
      <c r="BC423" s="11" t="s">
        <v>2781</v>
      </c>
      <c r="BD423" s="7" t="s">
        <v>2759</v>
      </c>
      <c r="BE423" s="11"/>
    </row>
    <row r="424" customFormat="false" ht="23.85" hidden="false" customHeight="false" outlineLevel="0" collapsed="false">
      <c r="A424" s="6" t="n">
        <v>424</v>
      </c>
      <c r="B424" s="7"/>
      <c r="C424" s="7" t="s">
        <v>2782</v>
      </c>
      <c r="D424" s="8"/>
      <c r="E424" s="7"/>
      <c r="F424" s="7" t="s">
        <v>2087</v>
      </c>
      <c r="G424" s="6" t="n">
        <v>1</v>
      </c>
      <c r="H424" s="7"/>
      <c r="I424" s="7"/>
      <c r="J424" s="7"/>
      <c r="K424" s="7" t="s">
        <v>907</v>
      </c>
      <c r="L424" s="9"/>
      <c r="M424" s="9"/>
      <c r="N424" s="9"/>
      <c r="O424" s="7"/>
      <c r="P424" s="7" t="s">
        <v>2767</v>
      </c>
      <c r="Q424" s="7" t="s">
        <v>1033</v>
      </c>
      <c r="R424" s="7" t="s">
        <v>2783</v>
      </c>
      <c r="S424" s="7"/>
      <c r="T424" s="7"/>
      <c r="U424" s="10"/>
      <c r="V424" s="7" t="s">
        <v>2767</v>
      </c>
      <c r="W424" s="7" t="s">
        <v>1033</v>
      </c>
      <c r="X424" s="7"/>
      <c r="Y424" s="7"/>
      <c r="Z424" s="7"/>
      <c r="AA424" s="7"/>
      <c r="AB424" s="8"/>
      <c r="AC424" s="6"/>
      <c r="AD424" s="6"/>
      <c r="AE424" s="6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8"/>
      <c r="AR424" s="9" t="str">
        <f aca="false">IFERROR(VLOOKUP($X424,Lotes!$A:$E,5,FALSE())*$U424,"")</f>
        <v/>
      </c>
      <c r="AS424" s="9" t="str">
        <f aca="false">IF($L424="","",$L424*2.6)</f>
        <v/>
      </c>
      <c r="AT424" s="9"/>
      <c r="AU424" s="9"/>
      <c r="AV424" s="9"/>
      <c r="AW424" s="9"/>
      <c r="AX424" s="7"/>
      <c r="AY424" s="7"/>
      <c r="AZ424" s="7"/>
      <c r="BA424" s="7" t="s">
        <v>2784</v>
      </c>
      <c r="BB424" s="7" t="s">
        <v>2785</v>
      </c>
      <c r="BC424" s="11" t="s">
        <v>2786</v>
      </c>
      <c r="BD424" s="7" t="s">
        <v>2759</v>
      </c>
      <c r="BE424" s="11"/>
    </row>
    <row r="425" customFormat="false" ht="15" hidden="false" customHeight="false" outlineLevel="0" collapsed="false">
      <c r="A425" s="6" t="n">
        <v>425</v>
      </c>
      <c r="B425" s="7"/>
      <c r="C425" s="7" t="s">
        <v>2787</v>
      </c>
      <c r="D425" s="8" t="n">
        <v>0.1</v>
      </c>
      <c r="E425" s="7" t="s">
        <v>1985</v>
      </c>
      <c r="F425" s="7" t="s">
        <v>2003</v>
      </c>
      <c r="G425" s="6" t="n">
        <v>1</v>
      </c>
      <c r="H425" s="7" t="s">
        <v>2788</v>
      </c>
      <c r="I425" s="7" t="s">
        <v>303</v>
      </c>
      <c r="J425" s="7" t="s">
        <v>2789</v>
      </c>
      <c r="K425" s="7" t="s">
        <v>583</v>
      </c>
      <c r="L425" s="9" t="n">
        <v>137886</v>
      </c>
      <c r="M425" s="9" t="n">
        <v>413658</v>
      </c>
      <c r="N425" s="9" t="n">
        <v>1240974</v>
      </c>
      <c r="O425" s="7"/>
      <c r="P425" s="7"/>
      <c r="Q425" s="7" t="s">
        <v>155</v>
      </c>
      <c r="R425" s="7" t="s">
        <v>2790</v>
      </c>
      <c r="S425" s="7"/>
      <c r="T425" s="7"/>
      <c r="U425" s="10" t="n">
        <v>0.0686</v>
      </c>
      <c r="V425" s="7"/>
      <c r="W425" s="7"/>
      <c r="X425" s="7" t="s">
        <v>2288</v>
      </c>
      <c r="Y425" s="12" t="b">
        <f aca="false">TRUE()</f>
        <v>1</v>
      </c>
      <c r="Z425" s="7" t="s">
        <v>2250</v>
      </c>
      <c r="AA425" s="7"/>
      <c r="AB425" s="8"/>
      <c r="AC425" s="6"/>
      <c r="AD425" s="6"/>
      <c r="AE425" s="6"/>
      <c r="AF425" s="7" t="s">
        <v>583</v>
      </c>
      <c r="AG425" s="7" t="s">
        <v>2178</v>
      </c>
      <c r="AH425" s="7"/>
      <c r="AI425" s="7"/>
      <c r="AJ425" s="7"/>
      <c r="AK425" s="7"/>
      <c r="AL425" s="7" t="s">
        <v>2791</v>
      </c>
      <c r="AM425" s="7"/>
      <c r="AN425" s="7"/>
      <c r="AO425" s="7"/>
      <c r="AP425" s="7"/>
      <c r="AQ425" s="8"/>
      <c r="AR425" s="9" t="n">
        <f aca="false">IFERROR(VLOOKUP($X425,Lotes!$A:$E,5,FALSE())*$U425,"")</f>
        <v>137886</v>
      </c>
      <c r="AS425" s="9" t="n">
        <f aca="false">IF($L425="","",$L425*2.6)</f>
        <v>358503.6</v>
      </c>
      <c r="AT425" s="9" t="n">
        <v>2549921.176</v>
      </c>
      <c r="AU425" s="9"/>
      <c r="AV425" s="9"/>
      <c r="AW425" s="9"/>
      <c r="AX425" s="7"/>
      <c r="AY425" s="7"/>
      <c r="AZ425" s="7"/>
      <c r="BA425" s="7" t="s">
        <v>2792</v>
      </c>
      <c r="BB425" s="7" t="s">
        <v>2793</v>
      </c>
      <c r="BC425" s="11" t="s">
        <v>2794</v>
      </c>
      <c r="BD425" s="7" t="s">
        <v>2598</v>
      </c>
      <c r="BE425" s="11"/>
    </row>
    <row r="426" customFormat="false" ht="15" hidden="false" customHeight="false" outlineLevel="0" collapsed="false">
      <c r="A426" s="6" t="n">
        <v>426</v>
      </c>
      <c r="B426" s="7"/>
      <c r="C426" s="7" t="s">
        <v>2795</v>
      </c>
      <c r="D426" s="8" t="n">
        <v>0.13</v>
      </c>
      <c r="E426" s="7" t="s">
        <v>1985</v>
      </c>
      <c r="F426" s="7" t="s">
        <v>2003</v>
      </c>
      <c r="G426" s="6" t="n">
        <v>2</v>
      </c>
      <c r="H426" s="7" t="s">
        <v>2788</v>
      </c>
      <c r="I426" s="7" t="s">
        <v>271</v>
      </c>
      <c r="J426" s="7" t="s">
        <v>2796</v>
      </c>
      <c r="K426" s="7" t="s">
        <v>583</v>
      </c>
      <c r="L426" s="9" t="n">
        <v>179292</v>
      </c>
      <c r="M426" s="9" t="n">
        <v>537876</v>
      </c>
      <c r="N426" s="9" t="n">
        <v>1613628</v>
      </c>
      <c r="O426" s="7"/>
      <c r="P426" s="7"/>
      <c r="Q426" s="7" t="s">
        <v>155</v>
      </c>
      <c r="R426" s="7" t="s">
        <v>2797</v>
      </c>
      <c r="S426" s="7"/>
      <c r="T426" s="7"/>
      <c r="U426" s="10" t="n">
        <v>0.0892</v>
      </c>
      <c r="V426" s="7"/>
      <c r="W426" s="7"/>
      <c r="X426" s="7" t="s">
        <v>2288</v>
      </c>
      <c r="Y426" s="12" t="b">
        <f aca="false">TRUE()</f>
        <v>1</v>
      </c>
      <c r="Z426" s="7" t="s">
        <v>2250</v>
      </c>
      <c r="AA426" s="7"/>
      <c r="AB426" s="8"/>
      <c r="AC426" s="6"/>
      <c r="AD426" s="6"/>
      <c r="AE426" s="6"/>
      <c r="AF426" s="7" t="s">
        <v>583</v>
      </c>
      <c r="AG426" s="7" t="s">
        <v>2178</v>
      </c>
      <c r="AH426" s="7"/>
      <c r="AI426" s="7"/>
      <c r="AJ426" s="7"/>
      <c r="AK426" s="7"/>
      <c r="AL426" s="7" t="s">
        <v>2798</v>
      </c>
      <c r="AM426" s="7"/>
      <c r="AN426" s="7"/>
      <c r="AO426" s="7"/>
      <c r="AP426" s="7"/>
      <c r="AQ426" s="8"/>
      <c r="AR426" s="9" t="n">
        <f aca="false">IFERROR(VLOOKUP($X426,Lotes!$A:$E,5,FALSE())*$U426,"")</f>
        <v>179292</v>
      </c>
      <c r="AS426" s="9" t="n">
        <f aca="false">IF($L426="","",$L426*2.6)</f>
        <v>466159.2</v>
      </c>
      <c r="AT426" s="9" t="n">
        <v>2609072.605</v>
      </c>
      <c r="AU426" s="9"/>
      <c r="AV426" s="9"/>
      <c r="AW426" s="9"/>
      <c r="AX426" s="7"/>
      <c r="AY426" s="7"/>
      <c r="AZ426" s="7"/>
      <c r="BA426" s="7" t="s">
        <v>2799</v>
      </c>
      <c r="BB426" s="7" t="s">
        <v>2800</v>
      </c>
      <c r="BC426" s="11" t="s">
        <v>2801</v>
      </c>
      <c r="BD426" s="7" t="s">
        <v>2598</v>
      </c>
      <c r="BE426" s="11"/>
    </row>
    <row r="427" customFormat="false" ht="15" hidden="false" customHeight="false" outlineLevel="0" collapsed="false">
      <c r="A427" s="6" t="n">
        <v>427</v>
      </c>
      <c r="B427" s="7"/>
      <c r="C427" s="7" t="s">
        <v>2802</v>
      </c>
      <c r="D427" s="8" t="n">
        <v>0.34</v>
      </c>
      <c r="E427" s="7" t="s">
        <v>1985</v>
      </c>
      <c r="F427" s="7" t="s">
        <v>2003</v>
      </c>
      <c r="G427" s="6" t="n">
        <v>4</v>
      </c>
      <c r="H427" s="7" t="s">
        <v>2788</v>
      </c>
      <c r="I427" s="7" t="s">
        <v>271</v>
      </c>
      <c r="J427" s="7" t="s">
        <v>2796</v>
      </c>
      <c r="K427" s="7" t="s">
        <v>583</v>
      </c>
      <c r="L427" s="9" t="n">
        <v>468933</v>
      </c>
      <c r="M427" s="9" t="n">
        <v>1406799</v>
      </c>
      <c r="N427" s="9" t="n">
        <v>4220397</v>
      </c>
      <c r="O427" s="7"/>
      <c r="P427" s="7"/>
      <c r="Q427" s="7" t="s">
        <v>155</v>
      </c>
      <c r="R427" s="7" t="s">
        <v>2803</v>
      </c>
      <c r="S427" s="7"/>
      <c r="T427" s="7"/>
      <c r="U427" s="10" t="n">
        <v>0.2333</v>
      </c>
      <c r="V427" s="7"/>
      <c r="W427" s="7"/>
      <c r="X427" s="7" t="s">
        <v>2288</v>
      </c>
      <c r="Y427" s="12" t="b">
        <f aca="false">TRUE()</f>
        <v>1</v>
      </c>
      <c r="Z427" s="7" t="s">
        <v>2250</v>
      </c>
      <c r="AA427" s="7"/>
      <c r="AB427" s="8"/>
      <c r="AC427" s="6"/>
      <c r="AD427" s="6"/>
      <c r="AE427" s="6"/>
      <c r="AF427" s="7" t="s">
        <v>583</v>
      </c>
      <c r="AG427" s="7" t="s">
        <v>2178</v>
      </c>
      <c r="AH427" s="7"/>
      <c r="AI427" s="7"/>
      <c r="AJ427" s="7"/>
      <c r="AK427" s="7"/>
      <c r="AL427" s="7" t="s">
        <v>2804</v>
      </c>
      <c r="AM427" s="7"/>
      <c r="AN427" s="7"/>
      <c r="AO427" s="7"/>
      <c r="AP427" s="7"/>
      <c r="AQ427" s="8"/>
      <c r="AR427" s="9" t="n">
        <f aca="false">IFERROR(VLOOKUP($X427,Lotes!$A:$E,5,FALSE())*$U427,"")</f>
        <v>468933</v>
      </c>
      <c r="AS427" s="9" t="n">
        <f aca="false">IF($L427="","",$L427*2.6)</f>
        <v>1219225.8</v>
      </c>
      <c r="AT427" s="9" t="n">
        <v>3022845.462</v>
      </c>
      <c r="AU427" s="9"/>
      <c r="AV427" s="9"/>
      <c r="AW427" s="9"/>
      <c r="AX427" s="7"/>
      <c r="AY427" s="7"/>
      <c r="AZ427" s="7"/>
      <c r="BA427" s="7" t="s">
        <v>2805</v>
      </c>
      <c r="BB427" s="7" t="s">
        <v>2806</v>
      </c>
      <c r="BC427" s="11" t="s">
        <v>2807</v>
      </c>
      <c r="BD427" s="7" t="s">
        <v>2598</v>
      </c>
      <c r="BE427" s="11"/>
    </row>
    <row r="428" customFormat="false" ht="15" hidden="false" customHeight="false" outlineLevel="0" collapsed="false">
      <c r="A428" s="6" t="n">
        <v>428</v>
      </c>
      <c r="B428" s="7"/>
      <c r="C428" s="7" t="s">
        <v>2808</v>
      </c>
      <c r="D428" s="8" t="n">
        <v>0.19</v>
      </c>
      <c r="E428" s="7" t="s">
        <v>1985</v>
      </c>
      <c r="F428" s="7" t="s">
        <v>2003</v>
      </c>
      <c r="G428" s="6" t="n">
        <v>3</v>
      </c>
      <c r="H428" s="7" t="s">
        <v>2788</v>
      </c>
      <c r="I428" s="7" t="s">
        <v>303</v>
      </c>
      <c r="J428" s="7" t="s">
        <v>2789</v>
      </c>
      <c r="K428" s="7" t="s">
        <v>583</v>
      </c>
      <c r="L428" s="9" t="n">
        <v>262104</v>
      </c>
      <c r="M428" s="9" t="n">
        <v>786312</v>
      </c>
      <c r="N428" s="9" t="n">
        <v>2358936</v>
      </c>
      <c r="O428" s="7"/>
      <c r="P428" s="7"/>
      <c r="Q428" s="7" t="s">
        <v>155</v>
      </c>
      <c r="R428" s="7" t="s">
        <v>2809</v>
      </c>
      <c r="S428" s="7"/>
      <c r="T428" s="7"/>
      <c r="U428" s="10" t="n">
        <v>0.1304</v>
      </c>
      <c r="V428" s="7"/>
      <c r="W428" s="7"/>
      <c r="X428" s="7" t="s">
        <v>2288</v>
      </c>
      <c r="Y428" s="12" t="b">
        <f aca="false">TRUE()</f>
        <v>1</v>
      </c>
      <c r="Z428" s="7" t="s">
        <v>2250</v>
      </c>
      <c r="AA428" s="7"/>
      <c r="AB428" s="8"/>
      <c r="AC428" s="6"/>
      <c r="AD428" s="6"/>
      <c r="AE428" s="6"/>
      <c r="AF428" s="7" t="s">
        <v>583</v>
      </c>
      <c r="AG428" s="7" t="s">
        <v>2178</v>
      </c>
      <c r="AH428" s="7"/>
      <c r="AI428" s="7"/>
      <c r="AJ428" s="7"/>
      <c r="AK428" s="7"/>
      <c r="AL428" s="7" t="s">
        <v>2810</v>
      </c>
      <c r="AM428" s="7"/>
      <c r="AN428" s="7"/>
      <c r="AO428" s="7"/>
      <c r="AP428" s="7"/>
      <c r="AQ428" s="8"/>
      <c r="AR428" s="9" t="n">
        <f aca="false">IFERROR(VLOOKUP($X428,Lotes!$A:$E,5,FALSE())*$U428,"")</f>
        <v>262104</v>
      </c>
      <c r="AS428" s="9" t="n">
        <f aca="false">IF($L428="","",$L428*2.6)</f>
        <v>681470.4</v>
      </c>
      <c r="AT428" s="9" t="n">
        <v>2727375.462</v>
      </c>
      <c r="AU428" s="9"/>
      <c r="AV428" s="9"/>
      <c r="AW428" s="9"/>
      <c r="AX428" s="7"/>
      <c r="AY428" s="7"/>
      <c r="AZ428" s="7"/>
      <c r="BA428" s="7" t="s">
        <v>2811</v>
      </c>
      <c r="BB428" s="7" t="s">
        <v>2812</v>
      </c>
      <c r="BC428" s="11" t="s">
        <v>2813</v>
      </c>
      <c r="BD428" s="7" t="s">
        <v>2598</v>
      </c>
      <c r="BE428" s="11"/>
    </row>
    <row r="429" customFormat="false" ht="15" hidden="false" customHeight="false" outlineLevel="0" collapsed="false">
      <c r="A429" s="6" t="n">
        <v>429</v>
      </c>
      <c r="B429" s="7"/>
      <c r="C429" s="7" t="s">
        <v>2814</v>
      </c>
      <c r="D429" s="8" t="n">
        <v>0.64</v>
      </c>
      <c r="E429" s="7"/>
      <c r="F429" s="7" t="s">
        <v>2087</v>
      </c>
      <c r="G429" s="6" t="n">
        <v>1</v>
      </c>
      <c r="H429" s="7"/>
      <c r="I429" s="7" t="s">
        <v>303</v>
      </c>
      <c r="J429" s="7" t="s">
        <v>2194</v>
      </c>
      <c r="K429" s="7" t="s">
        <v>2069</v>
      </c>
      <c r="L429" s="9" t="n">
        <v>209560</v>
      </c>
      <c r="M429" s="9"/>
      <c r="N429" s="9"/>
      <c r="O429" s="7"/>
      <c r="P429" s="7"/>
      <c r="Q429" s="7" t="s">
        <v>155</v>
      </c>
      <c r="R429" s="7" t="s">
        <v>2815</v>
      </c>
      <c r="S429" s="7"/>
      <c r="T429" s="7"/>
      <c r="U429" s="10" t="n">
        <v>0.1612</v>
      </c>
      <c r="V429" s="7"/>
      <c r="W429" s="7"/>
      <c r="X429" s="7" t="s">
        <v>2196</v>
      </c>
      <c r="Y429" s="12" t="b">
        <f aca="false">TRUE()</f>
        <v>1</v>
      </c>
      <c r="Z429" s="7" t="s">
        <v>2090</v>
      </c>
      <c r="AA429" s="7"/>
      <c r="AB429" s="8"/>
      <c r="AC429" s="6"/>
      <c r="AD429" s="6"/>
      <c r="AE429" s="6"/>
      <c r="AF429" s="7" t="s">
        <v>2069</v>
      </c>
      <c r="AG429" s="7" t="s">
        <v>88</v>
      </c>
      <c r="AH429" s="7"/>
      <c r="AI429" s="7"/>
      <c r="AJ429" s="7"/>
      <c r="AK429" s="7"/>
      <c r="AL429" s="7"/>
      <c r="AM429" s="7"/>
      <c r="AN429" s="7"/>
      <c r="AO429" s="7"/>
      <c r="AP429" s="7"/>
      <c r="AQ429" s="8"/>
      <c r="AR429" s="9" t="n">
        <f aca="false">IFERROR(VLOOKUP($X429,Lotes!$A:$E,5,FALSE())*$U429,"")</f>
        <v>209560</v>
      </c>
      <c r="AS429" s="9" t="n">
        <f aca="false">IF($L429="","",$L429*2.6)</f>
        <v>544856</v>
      </c>
      <c r="AT429" s="9" t="n">
        <v>2652312.605</v>
      </c>
      <c r="AU429" s="9"/>
      <c r="AV429" s="9"/>
      <c r="AW429" s="9"/>
      <c r="AX429" s="7"/>
      <c r="AY429" s="7"/>
      <c r="AZ429" s="7"/>
      <c r="BA429" s="7" t="s">
        <v>2816</v>
      </c>
      <c r="BB429" s="7" t="s">
        <v>2817</v>
      </c>
      <c r="BC429" s="11" t="s">
        <v>2818</v>
      </c>
      <c r="BD429" s="7" t="s">
        <v>2598</v>
      </c>
      <c r="BE429" s="11"/>
    </row>
    <row r="430" customFormat="false" ht="15" hidden="false" customHeight="false" outlineLevel="0" collapsed="false">
      <c r="A430" s="6" t="n">
        <v>430</v>
      </c>
      <c r="B430" s="7"/>
      <c r="C430" s="7" t="s">
        <v>2819</v>
      </c>
      <c r="D430" s="8" t="n">
        <v>1.06</v>
      </c>
      <c r="E430" s="7"/>
      <c r="F430" s="7" t="s">
        <v>2087</v>
      </c>
      <c r="G430" s="6" t="n">
        <v>2</v>
      </c>
      <c r="H430" s="7"/>
      <c r="I430" s="7" t="s">
        <v>303</v>
      </c>
      <c r="J430" s="7" t="s">
        <v>2194</v>
      </c>
      <c r="K430" s="7" t="s">
        <v>2820</v>
      </c>
      <c r="L430" s="9" t="n">
        <v>347100</v>
      </c>
      <c r="M430" s="9"/>
      <c r="N430" s="9"/>
      <c r="O430" s="7"/>
      <c r="P430" s="7"/>
      <c r="Q430" s="7" t="s">
        <v>155</v>
      </c>
      <c r="R430" s="7" t="s">
        <v>2821</v>
      </c>
      <c r="S430" s="7"/>
      <c r="T430" s="7"/>
      <c r="U430" s="10" t="n">
        <v>0.267</v>
      </c>
      <c r="V430" s="7"/>
      <c r="W430" s="7"/>
      <c r="X430" s="7" t="s">
        <v>2196</v>
      </c>
      <c r="Y430" s="12" t="b">
        <f aca="false">TRUE()</f>
        <v>1</v>
      </c>
      <c r="Z430" s="7" t="s">
        <v>2090</v>
      </c>
      <c r="AA430" s="7"/>
      <c r="AB430" s="8"/>
      <c r="AC430" s="6"/>
      <c r="AD430" s="6"/>
      <c r="AE430" s="6"/>
      <c r="AF430" s="7" t="s">
        <v>2069</v>
      </c>
      <c r="AG430" s="7" t="s">
        <v>88</v>
      </c>
      <c r="AH430" s="7"/>
      <c r="AI430" s="7"/>
      <c r="AJ430" s="7"/>
      <c r="AK430" s="7"/>
      <c r="AL430" s="7"/>
      <c r="AM430" s="7"/>
      <c r="AN430" s="7"/>
      <c r="AO430" s="7"/>
      <c r="AP430" s="7"/>
      <c r="AQ430" s="8"/>
      <c r="AR430" s="9" t="n">
        <f aca="false">IFERROR(VLOOKUP($X430,Lotes!$A:$E,5,FALSE())*$U430,"")</f>
        <v>347100</v>
      </c>
      <c r="AS430" s="9" t="n">
        <f aca="false">IF($L430="","",$L430*2.6)</f>
        <v>902460</v>
      </c>
      <c r="AT430" s="9" t="n">
        <v>2848798.319</v>
      </c>
      <c r="AU430" s="9"/>
      <c r="AV430" s="9"/>
      <c r="AW430" s="9"/>
      <c r="AX430" s="7"/>
      <c r="AY430" s="7"/>
      <c r="AZ430" s="7"/>
      <c r="BA430" s="7" t="s">
        <v>2822</v>
      </c>
      <c r="BB430" s="7" t="s">
        <v>2823</v>
      </c>
      <c r="BC430" s="11" t="s">
        <v>2824</v>
      </c>
      <c r="BD430" s="7" t="s">
        <v>2598</v>
      </c>
      <c r="BE430" s="11" t="s">
        <v>763</v>
      </c>
    </row>
    <row r="431" customFormat="false" ht="15" hidden="false" customHeight="false" outlineLevel="0" collapsed="false">
      <c r="A431" s="6" t="n">
        <v>431</v>
      </c>
      <c r="B431" s="7"/>
      <c r="C431" s="7" t="s">
        <v>2825</v>
      </c>
      <c r="D431" s="8" t="n">
        <v>0.53</v>
      </c>
      <c r="E431" s="7" t="s">
        <v>85</v>
      </c>
      <c r="F431" s="7" t="s">
        <v>2087</v>
      </c>
      <c r="G431" s="6" t="n">
        <v>1</v>
      </c>
      <c r="H431" s="7" t="s">
        <v>178</v>
      </c>
      <c r="I431" s="7" t="s">
        <v>271</v>
      </c>
      <c r="J431" s="7" t="s">
        <v>2826</v>
      </c>
      <c r="K431" s="7" t="s">
        <v>88</v>
      </c>
      <c r="L431" s="9" t="n">
        <v>173550</v>
      </c>
      <c r="M431" s="9"/>
      <c r="N431" s="9"/>
      <c r="O431" s="7"/>
      <c r="P431" s="7"/>
      <c r="Q431" s="7" t="s">
        <v>155</v>
      </c>
      <c r="R431" s="7" t="s">
        <v>2827</v>
      </c>
      <c r="S431" s="7"/>
      <c r="T431" s="7"/>
      <c r="U431" s="10" t="n">
        <v>0.1335</v>
      </c>
      <c r="V431" s="7"/>
      <c r="W431" s="7"/>
      <c r="X431" s="7" t="s">
        <v>2196</v>
      </c>
      <c r="Y431" s="12" t="b">
        <f aca="false">TRUE()</f>
        <v>1</v>
      </c>
      <c r="Z431" s="7" t="s">
        <v>2090</v>
      </c>
      <c r="AA431" s="7"/>
      <c r="AB431" s="8"/>
      <c r="AC431" s="6"/>
      <c r="AD431" s="6"/>
      <c r="AE431" s="6"/>
      <c r="AF431" s="7" t="s">
        <v>2069</v>
      </c>
      <c r="AG431" s="7" t="s">
        <v>88</v>
      </c>
      <c r="AH431" s="7"/>
      <c r="AI431" s="7"/>
      <c r="AJ431" s="7"/>
      <c r="AK431" s="7"/>
      <c r="AL431" s="7"/>
      <c r="AM431" s="7"/>
      <c r="AN431" s="7"/>
      <c r="AO431" s="7"/>
      <c r="AP431" s="7"/>
      <c r="AQ431" s="8"/>
      <c r="AR431" s="9" t="n">
        <f aca="false">IFERROR(VLOOKUP($X431,Lotes!$A:$E,5,FALSE())*$U431,"")</f>
        <v>173550</v>
      </c>
      <c r="AS431" s="9" t="n">
        <f aca="false">IF($L431="","",$L431*2.6)</f>
        <v>451230</v>
      </c>
      <c r="AT431" s="9" t="n">
        <v>2600869.748</v>
      </c>
      <c r="AU431" s="9"/>
      <c r="AV431" s="9"/>
      <c r="AW431" s="9"/>
      <c r="AX431" s="7"/>
      <c r="AY431" s="7"/>
      <c r="AZ431" s="7"/>
      <c r="BA431" s="7" t="s">
        <v>2828</v>
      </c>
      <c r="BB431" s="7" t="s">
        <v>2829</v>
      </c>
      <c r="BC431" s="11" t="s">
        <v>2830</v>
      </c>
      <c r="BD431" s="7" t="s">
        <v>2598</v>
      </c>
      <c r="BE431" s="11"/>
    </row>
    <row r="432" customFormat="false" ht="15" hidden="false" customHeight="false" outlineLevel="0" collapsed="false">
      <c r="A432" s="6" t="n">
        <v>432</v>
      </c>
      <c r="B432" s="7"/>
      <c r="C432" s="7" t="s">
        <v>2831</v>
      </c>
      <c r="D432" s="8" t="n">
        <v>1.2</v>
      </c>
      <c r="E432" s="7" t="s">
        <v>245</v>
      </c>
      <c r="F432" s="7" t="s">
        <v>2087</v>
      </c>
      <c r="G432" s="6" t="n">
        <v>2</v>
      </c>
      <c r="H432" s="7"/>
      <c r="I432" s="7" t="s">
        <v>271</v>
      </c>
      <c r="J432" s="7" t="s">
        <v>2832</v>
      </c>
      <c r="K432" s="7" t="s">
        <v>2820</v>
      </c>
      <c r="L432" s="9" t="n">
        <v>390910</v>
      </c>
      <c r="M432" s="9"/>
      <c r="N432" s="9"/>
      <c r="O432" s="7"/>
      <c r="P432" s="7"/>
      <c r="Q432" s="7" t="s">
        <v>155</v>
      </c>
      <c r="R432" s="7" t="s">
        <v>2833</v>
      </c>
      <c r="S432" s="7"/>
      <c r="T432" s="7"/>
      <c r="U432" s="10" t="n">
        <v>0.3007</v>
      </c>
      <c r="V432" s="7"/>
      <c r="W432" s="7"/>
      <c r="X432" s="7" t="s">
        <v>2196</v>
      </c>
      <c r="Y432" s="12" t="b">
        <f aca="false">TRUE()</f>
        <v>1</v>
      </c>
      <c r="Z432" s="7" t="s">
        <v>2090</v>
      </c>
      <c r="AA432" s="7"/>
      <c r="AB432" s="8"/>
      <c r="AC432" s="6"/>
      <c r="AD432" s="6"/>
      <c r="AE432" s="6"/>
      <c r="AF432" s="7" t="s">
        <v>2069</v>
      </c>
      <c r="AG432" s="7" t="s">
        <v>88</v>
      </c>
      <c r="AH432" s="7"/>
      <c r="AI432" s="7"/>
      <c r="AJ432" s="7"/>
      <c r="AK432" s="7"/>
      <c r="AL432" s="7"/>
      <c r="AM432" s="7"/>
      <c r="AN432" s="7"/>
      <c r="AO432" s="7"/>
      <c r="AP432" s="7"/>
      <c r="AQ432" s="8"/>
      <c r="AR432" s="9" t="n">
        <f aca="false">IFERROR(VLOOKUP($X432,Lotes!$A:$E,5,FALSE())*$U432,"")</f>
        <v>390910</v>
      </c>
      <c r="AS432" s="9" t="n">
        <f aca="false">IF($L432="","",$L432*2.6)</f>
        <v>1016366</v>
      </c>
      <c r="AT432" s="9" t="n">
        <v>2911384.034</v>
      </c>
      <c r="AU432" s="9"/>
      <c r="AV432" s="9"/>
      <c r="AW432" s="9"/>
      <c r="AX432" s="7"/>
      <c r="AY432" s="7"/>
      <c r="AZ432" s="7"/>
      <c r="BA432" s="7" t="s">
        <v>2834</v>
      </c>
      <c r="BB432" s="7" t="s">
        <v>2835</v>
      </c>
      <c r="BC432" s="11" t="s">
        <v>2836</v>
      </c>
      <c r="BD432" s="7" t="s">
        <v>2598</v>
      </c>
      <c r="BE432" s="11" t="s">
        <v>763</v>
      </c>
    </row>
    <row r="433" customFormat="false" ht="15" hidden="false" customHeight="false" outlineLevel="0" collapsed="false">
      <c r="A433" s="6" t="n">
        <v>433</v>
      </c>
      <c r="B433" s="7"/>
      <c r="C433" s="7" t="s">
        <v>2837</v>
      </c>
      <c r="D433" s="8" t="n">
        <v>0.54</v>
      </c>
      <c r="E433" s="7"/>
      <c r="F433" s="7" t="s">
        <v>2087</v>
      </c>
      <c r="G433" s="6" t="n">
        <v>1</v>
      </c>
      <c r="H433" s="7" t="s">
        <v>101</v>
      </c>
      <c r="I433" s="7" t="s">
        <v>303</v>
      </c>
      <c r="J433" s="7" t="s">
        <v>2838</v>
      </c>
      <c r="K433" s="7" t="s">
        <v>88</v>
      </c>
      <c r="L433" s="9" t="n">
        <v>176800</v>
      </c>
      <c r="M433" s="9"/>
      <c r="N433" s="9"/>
      <c r="O433" s="7"/>
      <c r="P433" s="7"/>
      <c r="Q433" s="7" t="s">
        <v>155</v>
      </c>
      <c r="R433" s="7" t="s">
        <v>2839</v>
      </c>
      <c r="S433" s="7"/>
      <c r="T433" s="7"/>
      <c r="U433" s="10" t="n">
        <v>0.136</v>
      </c>
      <c r="V433" s="7"/>
      <c r="W433" s="7"/>
      <c r="X433" s="7" t="s">
        <v>2196</v>
      </c>
      <c r="Y433" s="12" t="b">
        <f aca="false">TRUE()</f>
        <v>1</v>
      </c>
      <c r="Z433" s="7" t="s">
        <v>2090</v>
      </c>
      <c r="AA433" s="7"/>
      <c r="AB433" s="8"/>
      <c r="AC433" s="6"/>
      <c r="AD433" s="6"/>
      <c r="AE433" s="6"/>
      <c r="AF433" s="7" t="s">
        <v>2069</v>
      </c>
      <c r="AG433" s="7" t="s">
        <v>88</v>
      </c>
      <c r="AH433" s="7"/>
      <c r="AI433" s="7"/>
      <c r="AJ433" s="7"/>
      <c r="AK433" s="7"/>
      <c r="AL433" s="7"/>
      <c r="AM433" s="7"/>
      <c r="AN433" s="7"/>
      <c r="AO433" s="7"/>
      <c r="AP433" s="7"/>
      <c r="AQ433" s="8"/>
      <c r="AR433" s="9" t="n">
        <f aca="false">IFERROR(VLOOKUP($X433,Lotes!$A:$E,5,FALSE())*$U433,"")</f>
        <v>176800</v>
      </c>
      <c r="AS433" s="9" t="n">
        <f aca="false">IF($L433="","",$L433*2.6)</f>
        <v>459680</v>
      </c>
      <c r="AT433" s="9" t="n">
        <v>2605512.605</v>
      </c>
      <c r="AU433" s="9"/>
      <c r="AV433" s="9"/>
      <c r="AW433" s="9"/>
      <c r="AX433" s="7"/>
      <c r="AY433" s="7"/>
      <c r="AZ433" s="7"/>
      <c r="BA433" s="7" t="s">
        <v>2840</v>
      </c>
      <c r="BB433" s="7" t="s">
        <v>2841</v>
      </c>
      <c r="BC433" s="11" t="s">
        <v>2842</v>
      </c>
      <c r="BD433" s="7" t="s">
        <v>2598</v>
      </c>
      <c r="BE433" s="11"/>
    </row>
    <row r="434" customFormat="false" ht="23.85" hidden="false" customHeight="false" outlineLevel="0" collapsed="false">
      <c r="A434" s="6" t="n">
        <v>434</v>
      </c>
      <c r="B434" s="7"/>
      <c r="C434" s="7" t="s">
        <v>2843</v>
      </c>
      <c r="D434" s="8" t="n">
        <v>37.7</v>
      </c>
      <c r="E434" s="7" t="s">
        <v>85</v>
      </c>
      <c r="F434" s="7" t="s">
        <v>123</v>
      </c>
      <c r="G434" s="6" t="n">
        <v>17</v>
      </c>
      <c r="H434" s="7"/>
      <c r="I434" s="7"/>
      <c r="J434" s="7"/>
      <c r="K434" s="7" t="s">
        <v>2844</v>
      </c>
      <c r="L434" s="9" t="n">
        <v>154800</v>
      </c>
      <c r="M434" s="9"/>
      <c r="N434" s="9"/>
      <c r="O434" s="7"/>
      <c r="P434" s="7" t="s">
        <v>1730</v>
      </c>
      <c r="Q434" s="7" t="s">
        <v>90</v>
      </c>
      <c r="R434" s="7" t="s">
        <v>2845</v>
      </c>
      <c r="S434" s="7"/>
      <c r="T434" s="7"/>
      <c r="U434" s="10" t="n">
        <v>0.2646</v>
      </c>
      <c r="V434" s="7"/>
      <c r="W434" s="7"/>
      <c r="X434" s="7" t="s">
        <v>2846</v>
      </c>
      <c r="Y434" s="12" t="b">
        <f aca="false">TRUE()</f>
        <v>1</v>
      </c>
      <c r="Z434" s="7" t="s">
        <v>2090</v>
      </c>
      <c r="AA434" s="7"/>
      <c r="AB434" s="8"/>
      <c r="AC434" s="6" t="n">
        <v>17</v>
      </c>
      <c r="AD434" s="6"/>
      <c r="AE434" s="6"/>
      <c r="AF434" s="7" t="s">
        <v>1240</v>
      </c>
      <c r="AG434" s="7"/>
      <c r="AH434" s="7"/>
      <c r="AI434" s="7"/>
      <c r="AJ434" s="7"/>
      <c r="AK434" s="7"/>
      <c r="AL434" s="7" t="s">
        <v>2847</v>
      </c>
      <c r="AM434" s="7"/>
      <c r="AN434" s="7"/>
      <c r="AO434" s="7"/>
      <c r="AP434" s="7"/>
      <c r="AQ434" s="8"/>
      <c r="AR434" s="9" t="n">
        <f aca="false">IFERROR(VLOOKUP($X434,Lotes!$A:$E,5,FALSE())*$U434,"")</f>
        <v>154791</v>
      </c>
      <c r="AS434" s="9" t="n">
        <f aca="false">IF($L434="","",$L434*2.6)</f>
        <v>402480</v>
      </c>
      <c r="AT434" s="9"/>
      <c r="AU434" s="9"/>
      <c r="AV434" s="9"/>
      <c r="AW434" s="9"/>
      <c r="AX434" s="7"/>
      <c r="AY434" s="7"/>
      <c r="AZ434" s="7"/>
      <c r="BA434" s="7" t="s">
        <v>2848</v>
      </c>
      <c r="BB434" s="7" t="s">
        <v>2849</v>
      </c>
      <c r="BC434" s="11" t="s">
        <v>2850</v>
      </c>
      <c r="BD434" s="7" t="s">
        <v>2598</v>
      </c>
      <c r="BE434" s="11"/>
    </row>
    <row r="435" customFormat="false" ht="23.85" hidden="false" customHeight="false" outlineLevel="0" collapsed="false">
      <c r="A435" s="6" t="n">
        <v>435</v>
      </c>
      <c r="B435" s="7"/>
      <c r="C435" s="7" t="s">
        <v>2851</v>
      </c>
      <c r="D435" s="8" t="n">
        <v>38.42</v>
      </c>
      <c r="E435" s="7" t="s">
        <v>172</v>
      </c>
      <c r="F435" s="7" t="s">
        <v>123</v>
      </c>
      <c r="G435" s="6" t="n">
        <v>14</v>
      </c>
      <c r="H435" s="7"/>
      <c r="I435" s="7"/>
      <c r="J435" s="7"/>
      <c r="K435" s="7" t="s">
        <v>2844</v>
      </c>
      <c r="L435" s="9" t="n">
        <v>157750</v>
      </c>
      <c r="M435" s="9"/>
      <c r="N435" s="9"/>
      <c r="O435" s="7"/>
      <c r="P435" s="7"/>
      <c r="Q435" s="7" t="s">
        <v>155</v>
      </c>
      <c r="R435" s="7" t="s">
        <v>2852</v>
      </c>
      <c r="S435" s="7"/>
      <c r="T435" s="7"/>
      <c r="U435" s="10" t="n">
        <v>0.2697</v>
      </c>
      <c r="V435" s="7"/>
      <c r="W435" s="7"/>
      <c r="X435" s="7" t="s">
        <v>2846</v>
      </c>
      <c r="Y435" s="12" t="b">
        <f aca="false">TRUE()</f>
        <v>1</v>
      </c>
      <c r="Z435" s="7" t="s">
        <v>2090</v>
      </c>
      <c r="AA435" s="7"/>
      <c r="AB435" s="8"/>
      <c r="AC435" s="6" t="n">
        <v>14</v>
      </c>
      <c r="AD435" s="6"/>
      <c r="AE435" s="6"/>
      <c r="AF435" s="7" t="s">
        <v>1240</v>
      </c>
      <c r="AG435" s="7"/>
      <c r="AH435" s="7"/>
      <c r="AI435" s="7"/>
      <c r="AJ435" s="7"/>
      <c r="AK435" s="7"/>
      <c r="AL435" s="7" t="s">
        <v>2853</v>
      </c>
      <c r="AM435" s="7"/>
      <c r="AN435" s="7"/>
      <c r="AO435" s="7"/>
      <c r="AP435" s="7"/>
      <c r="AQ435" s="8"/>
      <c r="AR435" s="9" t="n">
        <f aca="false">IFERROR(VLOOKUP($X435,Lotes!$A:$E,5,FALSE())*$U435,"")</f>
        <v>157774.5</v>
      </c>
      <c r="AS435" s="9" t="n">
        <f aca="false">IF($L435="","",$L435*2.6)</f>
        <v>410150</v>
      </c>
      <c r="AT435" s="9"/>
      <c r="AU435" s="9"/>
      <c r="AV435" s="9"/>
      <c r="AW435" s="9"/>
      <c r="AX435" s="7"/>
      <c r="AY435" s="7"/>
      <c r="AZ435" s="7"/>
      <c r="BA435" s="7" t="s">
        <v>2854</v>
      </c>
      <c r="BB435" s="7" t="s">
        <v>2855</v>
      </c>
      <c r="BC435" s="11" t="s">
        <v>2856</v>
      </c>
      <c r="BD435" s="7" t="s">
        <v>2598</v>
      </c>
      <c r="BE435" s="11"/>
    </row>
    <row r="436" customFormat="false" ht="23.85" hidden="false" customHeight="false" outlineLevel="0" collapsed="false">
      <c r="A436" s="6" t="n">
        <v>436</v>
      </c>
      <c r="B436" s="7"/>
      <c r="C436" s="7" t="s">
        <v>2857</v>
      </c>
      <c r="D436" s="8" t="n">
        <v>31.2</v>
      </c>
      <c r="E436" s="7" t="s">
        <v>245</v>
      </c>
      <c r="F436" s="7" t="s">
        <v>148</v>
      </c>
      <c r="G436" s="6" t="n">
        <v>8</v>
      </c>
      <c r="H436" s="7"/>
      <c r="I436" s="7"/>
      <c r="J436" s="7"/>
      <c r="K436" s="7" t="s">
        <v>2844</v>
      </c>
      <c r="L436" s="9" t="n">
        <v>128100</v>
      </c>
      <c r="M436" s="9"/>
      <c r="N436" s="9"/>
      <c r="O436" s="7"/>
      <c r="P436" s="7"/>
      <c r="Q436" s="7" t="s">
        <v>155</v>
      </c>
      <c r="R436" s="7" t="s">
        <v>2858</v>
      </c>
      <c r="S436" s="7"/>
      <c r="T436" s="7"/>
      <c r="U436" s="10" t="n">
        <v>0.219</v>
      </c>
      <c r="V436" s="7"/>
      <c r="W436" s="7"/>
      <c r="X436" s="7" t="s">
        <v>2846</v>
      </c>
      <c r="Y436" s="12" t="b">
        <f aca="false">TRUE()</f>
        <v>1</v>
      </c>
      <c r="Z436" s="7" t="s">
        <v>2090</v>
      </c>
      <c r="AA436" s="7"/>
      <c r="AB436" s="8"/>
      <c r="AC436" s="6" t="n">
        <v>8</v>
      </c>
      <c r="AD436" s="6"/>
      <c r="AE436" s="6"/>
      <c r="AF436" s="7" t="s">
        <v>1240</v>
      </c>
      <c r="AG436" s="7"/>
      <c r="AH436" s="7"/>
      <c r="AI436" s="7"/>
      <c r="AJ436" s="7"/>
      <c r="AK436" s="7"/>
      <c r="AL436" s="7" t="s">
        <v>2859</v>
      </c>
      <c r="AM436" s="7"/>
      <c r="AN436" s="7"/>
      <c r="AO436" s="7"/>
      <c r="AP436" s="7"/>
      <c r="AQ436" s="8"/>
      <c r="AR436" s="9" t="n">
        <f aca="false">IFERROR(VLOOKUP($X436,Lotes!$A:$E,5,FALSE())*$U436,"")</f>
        <v>128115</v>
      </c>
      <c r="AS436" s="9" t="n">
        <f aca="false">IF($L436="","",$L436*2.6)</f>
        <v>333060</v>
      </c>
      <c r="AT436" s="9"/>
      <c r="AU436" s="9"/>
      <c r="AV436" s="9"/>
      <c r="AW436" s="9"/>
      <c r="AX436" s="7"/>
      <c r="AY436" s="7"/>
      <c r="AZ436" s="7"/>
      <c r="BA436" s="7" t="s">
        <v>2860</v>
      </c>
      <c r="BB436" s="7" t="s">
        <v>2861</v>
      </c>
      <c r="BC436" s="11" t="s">
        <v>2862</v>
      </c>
      <c r="BD436" s="7" t="s">
        <v>2598</v>
      </c>
      <c r="BE436" s="11"/>
    </row>
    <row r="437" customFormat="false" ht="23.85" hidden="false" customHeight="false" outlineLevel="0" collapsed="false">
      <c r="A437" s="6" t="n">
        <v>437</v>
      </c>
      <c r="B437" s="7"/>
      <c r="C437" s="7" t="s">
        <v>2863</v>
      </c>
      <c r="D437" s="8" t="n">
        <v>13.5</v>
      </c>
      <c r="E437" s="7" t="s">
        <v>2864</v>
      </c>
      <c r="F437" s="7" t="s">
        <v>148</v>
      </c>
      <c r="G437" s="6" t="n">
        <v>4</v>
      </c>
      <c r="H437" s="7"/>
      <c r="I437" s="7"/>
      <c r="J437" s="7"/>
      <c r="K437" s="7" t="s">
        <v>2865</v>
      </c>
      <c r="L437" s="9" t="n">
        <v>55400</v>
      </c>
      <c r="M437" s="9"/>
      <c r="N437" s="9"/>
      <c r="O437" s="7"/>
      <c r="P437" s="7"/>
      <c r="Q437" s="7" t="s">
        <v>155</v>
      </c>
      <c r="R437" s="7" t="s">
        <v>2866</v>
      </c>
      <c r="S437" s="7"/>
      <c r="T437" s="7"/>
      <c r="U437" s="10" t="n">
        <v>0.0947</v>
      </c>
      <c r="V437" s="7"/>
      <c r="W437" s="7"/>
      <c r="X437" s="7" t="s">
        <v>2846</v>
      </c>
      <c r="Y437" s="12" t="b">
        <f aca="false">TRUE()</f>
        <v>1</v>
      </c>
      <c r="Z437" s="7" t="s">
        <v>2090</v>
      </c>
      <c r="AA437" s="7"/>
      <c r="AB437" s="8"/>
      <c r="AC437" s="6"/>
      <c r="AD437" s="6"/>
      <c r="AE437" s="6"/>
      <c r="AF437" s="7" t="s">
        <v>1240</v>
      </c>
      <c r="AG437" s="7"/>
      <c r="AH437" s="7"/>
      <c r="AI437" s="7"/>
      <c r="AJ437" s="7"/>
      <c r="AK437" s="7"/>
      <c r="AL437" s="7" t="s">
        <v>2867</v>
      </c>
      <c r="AM437" s="7"/>
      <c r="AN437" s="7"/>
      <c r="AO437" s="7"/>
      <c r="AP437" s="7"/>
      <c r="AQ437" s="8"/>
      <c r="AR437" s="9" t="n">
        <f aca="false">IFERROR(VLOOKUP($X437,Lotes!$A:$E,5,FALSE())*$U437,"")</f>
        <v>55399.5</v>
      </c>
      <c r="AS437" s="9" t="n">
        <f aca="false">IF($L437="","",$L437*2.6)</f>
        <v>144040</v>
      </c>
      <c r="AT437" s="9"/>
      <c r="AU437" s="9"/>
      <c r="AV437" s="9"/>
      <c r="AW437" s="9"/>
      <c r="AX437" s="7"/>
      <c r="AY437" s="7"/>
      <c r="AZ437" s="7"/>
      <c r="BA437" s="7" t="s">
        <v>2868</v>
      </c>
      <c r="BB437" s="7" t="s">
        <v>2869</v>
      </c>
      <c r="BC437" s="11" t="s">
        <v>2870</v>
      </c>
      <c r="BD437" s="7" t="s">
        <v>2598</v>
      </c>
      <c r="BE437" s="11" t="s">
        <v>763</v>
      </c>
    </row>
    <row r="438" customFormat="false" ht="23.85" hidden="false" customHeight="false" outlineLevel="0" collapsed="false">
      <c r="A438" s="6" t="n">
        <v>438</v>
      </c>
      <c r="B438" s="7"/>
      <c r="C438" s="7" t="s">
        <v>2871</v>
      </c>
      <c r="D438" s="8" t="n">
        <v>21.66</v>
      </c>
      <c r="E438" s="7" t="s">
        <v>245</v>
      </c>
      <c r="F438" s="7" t="s">
        <v>148</v>
      </c>
      <c r="G438" s="6" t="n">
        <v>2</v>
      </c>
      <c r="H438" s="7"/>
      <c r="I438" s="7"/>
      <c r="J438" s="7"/>
      <c r="K438" s="7" t="s">
        <v>2844</v>
      </c>
      <c r="L438" s="9" t="n">
        <v>88900</v>
      </c>
      <c r="M438" s="9"/>
      <c r="N438" s="9"/>
      <c r="O438" s="7"/>
      <c r="P438" s="7"/>
      <c r="Q438" s="7" t="s">
        <v>155</v>
      </c>
      <c r="R438" s="7" t="s">
        <v>2872</v>
      </c>
      <c r="S438" s="7"/>
      <c r="T438" s="7"/>
      <c r="U438" s="10" t="n">
        <v>0.152</v>
      </c>
      <c r="V438" s="7"/>
      <c r="W438" s="7"/>
      <c r="X438" s="7" t="s">
        <v>2846</v>
      </c>
      <c r="Y438" s="12" t="b">
        <f aca="false">TRUE()</f>
        <v>1</v>
      </c>
      <c r="Z438" s="7" t="s">
        <v>2090</v>
      </c>
      <c r="AA438" s="7"/>
      <c r="AB438" s="8"/>
      <c r="AC438" s="6" t="n">
        <v>2</v>
      </c>
      <c r="AD438" s="6"/>
      <c r="AE438" s="6"/>
      <c r="AF438" s="7" t="s">
        <v>1240</v>
      </c>
      <c r="AG438" s="7"/>
      <c r="AH438" s="7"/>
      <c r="AI438" s="7"/>
      <c r="AJ438" s="7"/>
      <c r="AK438" s="7"/>
      <c r="AL438" s="7" t="s">
        <v>2873</v>
      </c>
      <c r="AM438" s="7"/>
      <c r="AN438" s="7"/>
      <c r="AO438" s="7"/>
      <c r="AP438" s="7"/>
      <c r="AQ438" s="8"/>
      <c r="AR438" s="9" t="n">
        <f aca="false">IFERROR(VLOOKUP($X438,Lotes!$A:$E,5,FALSE())*$U438,"")</f>
        <v>88920</v>
      </c>
      <c r="AS438" s="9" t="n">
        <f aca="false">IF($L438="","",$L438*2.6)</f>
        <v>231140</v>
      </c>
      <c r="AT438" s="9"/>
      <c r="AU438" s="9"/>
      <c r="AV438" s="9"/>
      <c r="AW438" s="9"/>
      <c r="AX438" s="7"/>
      <c r="AY438" s="7"/>
      <c r="AZ438" s="7"/>
      <c r="BA438" s="7" t="s">
        <v>2874</v>
      </c>
      <c r="BB438" s="7" t="s">
        <v>2875</v>
      </c>
      <c r="BC438" s="11" t="s">
        <v>2876</v>
      </c>
      <c r="BD438" s="7" t="s">
        <v>2598</v>
      </c>
      <c r="BE438" s="11"/>
    </row>
    <row r="439" customFormat="false" ht="15" hidden="false" customHeight="false" outlineLevel="0" collapsed="false">
      <c r="A439" s="6" t="n">
        <v>439</v>
      </c>
      <c r="B439" s="7"/>
      <c r="C439" s="7" t="s">
        <v>2877</v>
      </c>
      <c r="D439" s="8" t="n">
        <v>0.56</v>
      </c>
      <c r="E439" s="7" t="s">
        <v>85</v>
      </c>
      <c r="F439" s="7" t="s">
        <v>270</v>
      </c>
      <c r="G439" s="6" t="n">
        <v>2</v>
      </c>
      <c r="H439" s="7"/>
      <c r="I439" s="7" t="s">
        <v>271</v>
      </c>
      <c r="J439" s="7" t="s">
        <v>2878</v>
      </c>
      <c r="K439" s="7" t="s">
        <v>88</v>
      </c>
      <c r="L439" s="9"/>
      <c r="M439" s="9"/>
      <c r="N439" s="9"/>
      <c r="O439" s="7"/>
      <c r="P439" s="7"/>
      <c r="Q439" s="7" t="s">
        <v>155</v>
      </c>
      <c r="R439" s="7" t="s">
        <v>2879</v>
      </c>
      <c r="S439" s="7"/>
      <c r="T439" s="7"/>
      <c r="U439" s="10"/>
      <c r="V439" s="7"/>
      <c r="W439" s="7"/>
      <c r="X439" s="7"/>
      <c r="Y439" s="7"/>
      <c r="Z439" s="7"/>
      <c r="AA439" s="7"/>
      <c r="AB439" s="8"/>
      <c r="AC439" s="6"/>
      <c r="AD439" s="6"/>
      <c r="AE439" s="6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8"/>
      <c r="AR439" s="9" t="str">
        <f aca="false">IFERROR(VLOOKUP($X439,Lotes!$A:$E,5,FALSE())*$U439,"")</f>
        <v/>
      </c>
      <c r="AS439" s="9" t="str">
        <f aca="false">IF($L439="","",$L439*2.6)</f>
        <v/>
      </c>
      <c r="AT439" s="9"/>
      <c r="AU439" s="9"/>
      <c r="AV439" s="9"/>
      <c r="AW439" s="9"/>
      <c r="AX439" s="7"/>
      <c r="AY439" s="7"/>
      <c r="AZ439" s="7"/>
      <c r="BA439" s="7" t="s">
        <v>2880</v>
      </c>
      <c r="BB439" s="7" t="s">
        <v>2881</v>
      </c>
      <c r="BC439" s="11" t="s">
        <v>2882</v>
      </c>
      <c r="BD439" s="7" t="s">
        <v>2883</v>
      </c>
      <c r="BE439" s="11"/>
    </row>
    <row r="440" customFormat="false" ht="15" hidden="false" customHeight="false" outlineLevel="0" collapsed="false">
      <c r="A440" s="6" t="n">
        <v>440</v>
      </c>
      <c r="B440" s="7"/>
      <c r="C440" s="7" t="s">
        <v>2884</v>
      </c>
      <c r="D440" s="8" t="n">
        <v>0.52</v>
      </c>
      <c r="E440" s="7" t="s">
        <v>85</v>
      </c>
      <c r="F440" s="7" t="s">
        <v>148</v>
      </c>
      <c r="G440" s="6" t="n">
        <v>2</v>
      </c>
      <c r="H440" s="7"/>
      <c r="I440" s="7" t="s">
        <v>271</v>
      </c>
      <c r="J440" s="7" t="s">
        <v>2885</v>
      </c>
      <c r="K440" s="7" t="s">
        <v>88</v>
      </c>
      <c r="L440" s="9"/>
      <c r="M440" s="9"/>
      <c r="N440" s="9"/>
      <c r="O440" s="7"/>
      <c r="P440" s="7"/>
      <c r="Q440" s="7" t="s">
        <v>155</v>
      </c>
      <c r="R440" s="7" t="s">
        <v>2886</v>
      </c>
      <c r="S440" s="7"/>
      <c r="T440" s="7"/>
      <c r="U440" s="10"/>
      <c r="V440" s="7"/>
      <c r="W440" s="7"/>
      <c r="X440" s="7"/>
      <c r="Y440" s="7"/>
      <c r="Z440" s="7"/>
      <c r="AA440" s="7"/>
      <c r="AB440" s="8"/>
      <c r="AC440" s="6"/>
      <c r="AD440" s="6"/>
      <c r="AE440" s="6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8"/>
      <c r="AR440" s="9" t="str">
        <f aca="false">IFERROR(VLOOKUP($X440,Lotes!$A:$E,5,FALSE())*$U440,"")</f>
        <v/>
      </c>
      <c r="AS440" s="9" t="str">
        <f aca="false">IF($L440="","",$L440*2.6)</f>
        <v/>
      </c>
      <c r="AT440" s="9"/>
      <c r="AU440" s="9"/>
      <c r="AV440" s="9"/>
      <c r="AW440" s="9"/>
      <c r="AX440" s="7"/>
      <c r="AY440" s="7"/>
      <c r="AZ440" s="7"/>
      <c r="BA440" s="7" t="s">
        <v>2887</v>
      </c>
      <c r="BB440" s="7" t="s">
        <v>2888</v>
      </c>
      <c r="BC440" s="11" t="s">
        <v>2889</v>
      </c>
      <c r="BD440" s="7" t="s">
        <v>2883</v>
      </c>
      <c r="BE440" s="11"/>
    </row>
    <row r="441" customFormat="false" ht="15" hidden="false" customHeight="false" outlineLevel="0" collapsed="false">
      <c r="A441" s="6" t="n">
        <v>441</v>
      </c>
      <c r="B441" s="7"/>
      <c r="C441" s="7" t="s">
        <v>2002</v>
      </c>
      <c r="D441" s="8" t="n">
        <v>0.54</v>
      </c>
      <c r="E441" s="7" t="s">
        <v>1985</v>
      </c>
      <c r="F441" s="7" t="s">
        <v>2003</v>
      </c>
      <c r="G441" s="6" t="n">
        <v>1</v>
      </c>
      <c r="H441" s="7" t="s">
        <v>200</v>
      </c>
      <c r="I441" s="7" t="s">
        <v>271</v>
      </c>
      <c r="J441" s="7" t="s">
        <v>2004</v>
      </c>
      <c r="K441" s="7" t="s">
        <v>88</v>
      </c>
      <c r="L441" s="9"/>
      <c r="M441" s="9"/>
      <c r="N441" s="9"/>
      <c r="O441" s="7"/>
      <c r="P441" s="7"/>
      <c r="Q441" s="7" t="s">
        <v>155</v>
      </c>
      <c r="R441" s="7" t="s">
        <v>2890</v>
      </c>
      <c r="S441" s="7"/>
      <c r="T441" s="7"/>
      <c r="U441" s="10"/>
      <c r="V441" s="7"/>
      <c r="W441" s="7"/>
      <c r="X441" s="7"/>
      <c r="Y441" s="7"/>
      <c r="Z441" s="7"/>
      <c r="AA441" s="7"/>
      <c r="AB441" s="8"/>
      <c r="AC441" s="6"/>
      <c r="AD441" s="6"/>
      <c r="AE441" s="6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8"/>
      <c r="AR441" s="9" t="str">
        <f aca="false">IFERROR(VLOOKUP($X441,Lotes!$A:$E,5,FALSE())*$U441,"")</f>
        <v/>
      </c>
      <c r="AS441" s="9" t="str">
        <f aca="false">IF($L441="","",$L441*2.6)</f>
        <v/>
      </c>
      <c r="AT441" s="9"/>
      <c r="AU441" s="9"/>
      <c r="AV441" s="9"/>
      <c r="AW441" s="9"/>
      <c r="AX441" s="7"/>
      <c r="AY441" s="7"/>
      <c r="AZ441" s="7"/>
      <c r="BA441" s="7" t="s">
        <v>2891</v>
      </c>
      <c r="BB441" s="7" t="s">
        <v>2892</v>
      </c>
      <c r="BC441" s="11" t="s">
        <v>2893</v>
      </c>
      <c r="BD441" s="7" t="s">
        <v>2883</v>
      </c>
      <c r="BE441" s="11"/>
    </row>
    <row r="442" customFormat="false" ht="23.85" hidden="false" customHeight="false" outlineLevel="0" collapsed="false">
      <c r="A442" s="6" t="n">
        <v>442</v>
      </c>
      <c r="B442" s="7"/>
      <c r="C442" s="7" t="s">
        <v>2894</v>
      </c>
      <c r="D442" s="8" t="n">
        <v>5</v>
      </c>
      <c r="E442" s="7" t="s">
        <v>2895</v>
      </c>
      <c r="F442" s="7" t="s">
        <v>2067</v>
      </c>
      <c r="G442" s="6" t="n">
        <v>1</v>
      </c>
      <c r="H442" s="7" t="s">
        <v>362</v>
      </c>
      <c r="I442" s="7" t="s">
        <v>271</v>
      </c>
      <c r="J442" s="7" t="s">
        <v>2896</v>
      </c>
      <c r="K442" s="7" t="s">
        <v>353</v>
      </c>
      <c r="L442" s="9" t="n">
        <v>94000</v>
      </c>
      <c r="M442" s="9"/>
      <c r="N442" s="9"/>
      <c r="O442" s="7"/>
      <c r="P442" s="7"/>
      <c r="Q442" s="7" t="s">
        <v>155</v>
      </c>
      <c r="R442" s="7" t="s">
        <v>2897</v>
      </c>
      <c r="S442" s="7"/>
      <c r="T442" s="7"/>
      <c r="U442" s="10"/>
      <c r="V442" s="7"/>
      <c r="W442" s="7"/>
      <c r="X442" s="7" t="s">
        <v>2898</v>
      </c>
      <c r="Y442" s="7"/>
      <c r="Z442" s="7"/>
      <c r="AA442" s="7"/>
      <c r="AB442" s="8"/>
      <c r="AC442" s="6"/>
      <c r="AD442" s="6"/>
      <c r="AE442" s="6"/>
      <c r="AF442" s="7" t="s">
        <v>583</v>
      </c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8" t="n">
        <v>5</v>
      </c>
      <c r="AR442" s="9" t="n">
        <f aca="false">IFERROR(VLOOKUP($X442,Lotes!$A:$E,5,FALSE())*$U442,"")</f>
        <v>0</v>
      </c>
      <c r="AS442" s="9" t="n">
        <f aca="false">IF($L442="","",$L442*2.6)</f>
        <v>244400</v>
      </c>
      <c r="AT442" s="9"/>
      <c r="AU442" s="9"/>
      <c r="AV442" s="9"/>
      <c r="AW442" s="9"/>
      <c r="AX442" s="7"/>
      <c r="AY442" s="7"/>
      <c r="AZ442" s="7"/>
      <c r="BA442" s="7" t="s">
        <v>2899</v>
      </c>
      <c r="BB442" s="7" t="s">
        <v>2900</v>
      </c>
      <c r="BC442" s="11" t="s">
        <v>2901</v>
      </c>
      <c r="BD442" s="7" t="s">
        <v>2902</v>
      </c>
      <c r="BE442" s="11" t="s">
        <v>2903</v>
      </c>
    </row>
    <row r="443" customFormat="false" ht="15" hidden="false" customHeight="false" outlineLevel="0" collapsed="false">
      <c r="A443" s="6" t="n">
        <v>443</v>
      </c>
      <c r="B443" s="7"/>
      <c r="C443" s="7" t="s">
        <v>2904</v>
      </c>
      <c r="D443" s="8" t="n">
        <v>0.36</v>
      </c>
      <c r="E443" s="7" t="s">
        <v>172</v>
      </c>
      <c r="F443" s="7" t="s">
        <v>86</v>
      </c>
      <c r="G443" s="6" t="n">
        <v>1</v>
      </c>
      <c r="H443" s="7"/>
      <c r="I443" s="7" t="s">
        <v>271</v>
      </c>
      <c r="J443" s="7" t="s">
        <v>2905</v>
      </c>
      <c r="K443" s="7" t="s">
        <v>88</v>
      </c>
      <c r="L443" s="9"/>
      <c r="M443" s="9"/>
      <c r="N443" s="9"/>
      <c r="O443" s="7"/>
      <c r="P443" s="7"/>
      <c r="Q443" s="7" t="s">
        <v>155</v>
      </c>
      <c r="R443" s="7" t="s">
        <v>2906</v>
      </c>
      <c r="S443" s="7"/>
      <c r="T443" s="7"/>
      <c r="U443" s="10"/>
      <c r="V443" s="7"/>
      <c r="W443" s="7"/>
      <c r="X443" s="7"/>
      <c r="Y443" s="7"/>
      <c r="Z443" s="7"/>
      <c r="AA443" s="7"/>
      <c r="AB443" s="8"/>
      <c r="AC443" s="6"/>
      <c r="AD443" s="6"/>
      <c r="AE443" s="6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8"/>
      <c r="AR443" s="9" t="str">
        <f aca="false">IFERROR(VLOOKUP($X443,Lotes!$A:$E,5,FALSE())*$U443,"")</f>
        <v/>
      </c>
      <c r="AS443" s="9" t="str">
        <f aca="false">IF($L443="","",$L443*2.6)</f>
        <v/>
      </c>
      <c r="AT443" s="9"/>
      <c r="AU443" s="9"/>
      <c r="AV443" s="9"/>
      <c r="AW443" s="9"/>
      <c r="AX443" s="7"/>
      <c r="AY443" s="7"/>
      <c r="AZ443" s="7"/>
      <c r="BA443" s="7" t="s">
        <v>2907</v>
      </c>
      <c r="BB443" s="7" t="s">
        <v>2908</v>
      </c>
      <c r="BC443" s="11" t="s">
        <v>2909</v>
      </c>
      <c r="BD443" s="7" t="s">
        <v>2883</v>
      </c>
      <c r="BE443" s="11"/>
    </row>
    <row r="444" customFormat="false" ht="15" hidden="false" customHeight="false" outlineLevel="0" collapsed="false">
      <c r="A444" s="6" t="n">
        <v>444</v>
      </c>
      <c r="B444" s="7"/>
      <c r="C444" s="7" t="s">
        <v>2910</v>
      </c>
      <c r="D444" s="8" t="n">
        <v>0.5</v>
      </c>
      <c r="E444" s="7"/>
      <c r="F444" s="7" t="s">
        <v>2087</v>
      </c>
      <c r="G444" s="6" t="n">
        <v>1</v>
      </c>
      <c r="H444" s="7" t="s">
        <v>2911</v>
      </c>
      <c r="I444" s="7" t="s">
        <v>271</v>
      </c>
      <c r="J444" s="7" t="s">
        <v>2912</v>
      </c>
      <c r="K444" s="7" t="s">
        <v>88</v>
      </c>
      <c r="L444" s="9"/>
      <c r="M444" s="9"/>
      <c r="N444" s="9"/>
      <c r="O444" s="7"/>
      <c r="P444" s="7"/>
      <c r="Q444" s="7" t="s">
        <v>155</v>
      </c>
      <c r="R444" s="7" t="s">
        <v>2913</v>
      </c>
      <c r="S444" s="7"/>
      <c r="T444" s="7"/>
      <c r="U444" s="10"/>
      <c r="V444" s="7"/>
      <c r="W444" s="7"/>
      <c r="X444" s="7"/>
      <c r="Y444" s="7"/>
      <c r="Z444" s="7"/>
      <c r="AA444" s="7"/>
      <c r="AB444" s="8"/>
      <c r="AC444" s="6"/>
      <c r="AD444" s="6"/>
      <c r="AE444" s="6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8"/>
      <c r="AR444" s="9" t="str">
        <f aca="false">IFERROR(VLOOKUP($X444,Lotes!$A:$E,5,FALSE())*$U444,"")</f>
        <v/>
      </c>
      <c r="AS444" s="9" t="str">
        <f aca="false">IF($L444="","",$L444*2.6)</f>
        <v/>
      </c>
      <c r="AT444" s="9"/>
      <c r="AU444" s="9"/>
      <c r="AV444" s="9"/>
      <c r="AW444" s="9"/>
      <c r="AX444" s="7"/>
      <c r="AY444" s="7"/>
      <c r="AZ444" s="7"/>
      <c r="BA444" s="7" t="s">
        <v>2914</v>
      </c>
      <c r="BB444" s="7" t="s">
        <v>2915</v>
      </c>
      <c r="BC444" s="11" t="s">
        <v>2916</v>
      </c>
      <c r="BD444" s="7" t="s">
        <v>2883</v>
      </c>
      <c r="BE444" s="11"/>
    </row>
    <row r="445" customFormat="false" ht="15" hidden="false" customHeight="false" outlineLevel="0" collapsed="false">
      <c r="A445" s="6" t="n">
        <v>445</v>
      </c>
      <c r="B445" s="7"/>
      <c r="C445" s="7" t="s">
        <v>2917</v>
      </c>
      <c r="D445" s="8"/>
      <c r="E445" s="7"/>
      <c r="F445" s="7"/>
      <c r="G445" s="6" t="n">
        <v>9</v>
      </c>
      <c r="H445" s="7"/>
      <c r="I445" s="7"/>
      <c r="J445" s="7"/>
      <c r="K445" s="7" t="s">
        <v>2918</v>
      </c>
      <c r="L445" s="9" t="n">
        <v>261000</v>
      </c>
      <c r="M445" s="9"/>
      <c r="N445" s="9"/>
      <c r="O445" s="7"/>
      <c r="P445" s="7"/>
      <c r="Q445" s="7" t="s">
        <v>155</v>
      </c>
      <c r="R445" s="7" t="s">
        <v>2919</v>
      </c>
      <c r="S445" s="7"/>
      <c r="T445" s="7"/>
      <c r="U445" s="10" t="n">
        <v>1</v>
      </c>
      <c r="V445" s="7"/>
      <c r="W445" s="7"/>
      <c r="X445" s="7" t="s">
        <v>2920</v>
      </c>
      <c r="Y445" s="12" t="b">
        <f aca="false">TRUE()</f>
        <v>1</v>
      </c>
      <c r="Z445" s="7"/>
      <c r="AA445" s="7" t="s">
        <v>2921</v>
      </c>
      <c r="AB445" s="8"/>
      <c r="AC445" s="6"/>
      <c r="AD445" s="6"/>
      <c r="AE445" s="6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8"/>
      <c r="AR445" s="9" t="n">
        <f aca="false">IFERROR(VLOOKUP($X445,Lotes!$A:$E,5,FALSE())*$U445,"")</f>
        <v>261000</v>
      </c>
      <c r="AS445" s="9" t="n">
        <f aca="false">IF($L445="","",$L445*2.6)</f>
        <v>678600</v>
      </c>
      <c r="AT445" s="9"/>
      <c r="AU445" s="9"/>
      <c r="AV445" s="9"/>
      <c r="AW445" s="9"/>
      <c r="AX445" s="7"/>
      <c r="AY445" s="7"/>
      <c r="AZ445" s="7"/>
      <c r="BA445" s="7" t="s">
        <v>2922</v>
      </c>
      <c r="BB445" s="7" t="s">
        <v>2923</v>
      </c>
      <c r="BC445" s="11" t="s">
        <v>2924</v>
      </c>
      <c r="BD445" s="7" t="s">
        <v>2052</v>
      </c>
      <c r="BE445" s="11"/>
    </row>
    <row r="446" customFormat="false" ht="15" hidden="false" customHeight="false" outlineLevel="0" collapsed="false">
      <c r="A446" s="6" t="n">
        <v>446</v>
      </c>
      <c r="B446" s="7"/>
      <c r="C446" s="7" t="s">
        <v>2925</v>
      </c>
      <c r="D446" s="8" t="n">
        <v>21.27</v>
      </c>
      <c r="E446" s="7"/>
      <c r="F446" s="7" t="s">
        <v>270</v>
      </c>
      <c r="G446" s="6" t="n">
        <v>3</v>
      </c>
      <c r="H446" s="7"/>
      <c r="I446" s="7"/>
      <c r="J446" s="7"/>
      <c r="K446" s="7" t="s">
        <v>2926</v>
      </c>
      <c r="L446" s="9" t="n">
        <v>255000</v>
      </c>
      <c r="M446" s="9"/>
      <c r="N446" s="9"/>
      <c r="O446" s="7"/>
      <c r="P446" s="7"/>
      <c r="Q446" s="7" t="s">
        <v>155</v>
      </c>
      <c r="R446" s="7" t="s">
        <v>2927</v>
      </c>
      <c r="S446" s="7"/>
      <c r="T446" s="7"/>
      <c r="U446" s="10" t="n">
        <v>1</v>
      </c>
      <c r="V446" s="7"/>
      <c r="W446" s="7"/>
      <c r="X446" s="7" t="s">
        <v>2928</v>
      </c>
      <c r="Y446" s="12" t="b">
        <f aca="false">TRUE()</f>
        <v>1</v>
      </c>
      <c r="Z446" s="7"/>
      <c r="AA446" s="7" t="s">
        <v>2929</v>
      </c>
      <c r="AB446" s="8"/>
      <c r="AC446" s="6"/>
      <c r="AD446" s="6"/>
      <c r="AE446" s="6"/>
      <c r="AF446" s="7" t="s">
        <v>2930</v>
      </c>
      <c r="AG446" s="7"/>
      <c r="AH446" s="7"/>
      <c r="AI446" s="7"/>
      <c r="AJ446" s="7"/>
      <c r="AK446" s="7"/>
      <c r="AL446" s="7" t="s">
        <v>2931</v>
      </c>
      <c r="AM446" s="7"/>
      <c r="AN446" s="7"/>
      <c r="AO446" s="7"/>
      <c r="AP446" s="7"/>
      <c r="AQ446" s="8"/>
      <c r="AR446" s="9" t="n">
        <f aca="false">IFERROR(VLOOKUP($X446,Lotes!$A:$E,5,FALSE())*$U446,"")</f>
        <v>255000</v>
      </c>
      <c r="AS446" s="9" t="n">
        <f aca="false">IF($L446="","",$L446*2.6)</f>
        <v>663000</v>
      </c>
      <c r="AT446" s="9"/>
      <c r="AU446" s="9"/>
      <c r="AV446" s="9"/>
      <c r="AW446" s="9"/>
      <c r="AX446" s="7"/>
      <c r="AY446" s="7"/>
      <c r="AZ446" s="7"/>
      <c r="BA446" s="7" t="s">
        <v>2932</v>
      </c>
      <c r="BB446" s="7" t="s">
        <v>2933</v>
      </c>
      <c r="BC446" s="11" t="s">
        <v>2934</v>
      </c>
      <c r="BD446" s="7" t="s">
        <v>2598</v>
      </c>
      <c r="BE446" s="11"/>
    </row>
    <row r="447" customFormat="false" ht="15" hidden="false" customHeight="false" outlineLevel="0" collapsed="false">
      <c r="A447" s="6" t="n">
        <v>447</v>
      </c>
      <c r="B447" s="7"/>
      <c r="C447" s="7" t="s">
        <v>2935</v>
      </c>
      <c r="D447" s="8"/>
      <c r="E447" s="7"/>
      <c r="F447" s="7"/>
      <c r="G447" s="6" t="n">
        <v>6</v>
      </c>
      <c r="H447" s="7"/>
      <c r="I447" s="7"/>
      <c r="J447" s="7"/>
      <c r="K447" s="7" t="s">
        <v>2926</v>
      </c>
      <c r="L447" s="9" t="n">
        <v>24000</v>
      </c>
      <c r="M447" s="9"/>
      <c r="N447" s="9"/>
      <c r="O447" s="7"/>
      <c r="P447" s="7"/>
      <c r="Q447" s="7" t="s">
        <v>155</v>
      </c>
      <c r="R447" s="7" t="s">
        <v>2936</v>
      </c>
      <c r="S447" s="7"/>
      <c r="T447" s="7"/>
      <c r="U447" s="10" t="n">
        <v>1</v>
      </c>
      <c r="V447" s="7"/>
      <c r="W447" s="7"/>
      <c r="X447" s="7" t="s">
        <v>2937</v>
      </c>
      <c r="Y447" s="12" t="b">
        <f aca="false">TRUE()</f>
        <v>1</v>
      </c>
      <c r="Z447" s="7"/>
      <c r="AA447" s="7" t="s">
        <v>2938</v>
      </c>
      <c r="AB447" s="8"/>
      <c r="AC447" s="6"/>
      <c r="AD447" s="6"/>
      <c r="AE447" s="6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8" t="n">
        <v>16.72</v>
      </c>
      <c r="AR447" s="9" t="n">
        <f aca="false">IFERROR(VLOOKUP($X447,Lotes!$A:$E,5,FALSE())*$U447,"")</f>
        <v>24000</v>
      </c>
      <c r="AS447" s="9" t="n">
        <f aca="false">IF($L447="","",$L447*2.6)</f>
        <v>62400</v>
      </c>
      <c r="AT447" s="9"/>
      <c r="AU447" s="9"/>
      <c r="AV447" s="9"/>
      <c r="AW447" s="9"/>
      <c r="AX447" s="7"/>
      <c r="AY447" s="7"/>
      <c r="AZ447" s="7"/>
      <c r="BA447" s="7" t="s">
        <v>2939</v>
      </c>
      <c r="BB447" s="7" t="s">
        <v>2940</v>
      </c>
      <c r="BC447" s="11" t="s">
        <v>2941</v>
      </c>
      <c r="BD447" s="7" t="s">
        <v>2598</v>
      </c>
      <c r="BE447" s="11"/>
    </row>
    <row r="448" customFormat="false" ht="23.85" hidden="false" customHeight="false" outlineLevel="0" collapsed="false">
      <c r="A448" s="6" t="n">
        <v>448</v>
      </c>
      <c r="B448" s="7"/>
      <c r="C448" s="7" t="s">
        <v>2942</v>
      </c>
      <c r="D448" s="8"/>
      <c r="E448" s="7"/>
      <c r="F448" s="7"/>
      <c r="G448" s="6" t="n">
        <v>14</v>
      </c>
      <c r="H448" s="7"/>
      <c r="I448" s="7"/>
      <c r="J448" s="7"/>
      <c r="K448" s="7" t="s">
        <v>2926</v>
      </c>
      <c r="L448" s="9" t="n">
        <v>278100</v>
      </c>
      <c r="M448" s="9"/>
      <c r="N448" s="9"/>
      <c r="O448" s="7"/>
      <c r="P448" s="7"/>
      <c r="Q448" s="7" t="s">
        <v>155</v>
      </c>
      <c r="R448" s="7" t="s">
        <v>2943</v>
      </c>
      <c r="S448" s="7"/>
      <c r="T448" s="7"/>
      <c r="U448" s="10" t="n">
        <v>1</v>
      </c>
      <c r="V448" s="7"/>
      <c r="W448" s="7"/>
      <c r="X448" s="7" t="s">
        <v>2944</v>
      </c>
      <c r="Y448" s="12" t="b">
        <f aca="false">TRUE()</f>
        <v>1</v>
      </c>
      <c r="Z448" s="7"/>
      <c r="AA448" s="7" t="s">
        <v>2945</v>
      </c>
      <c r="AB448" s="8"/>
      <c r="AC448" s="6"/>
      <c r="AD448" s="6"/>
      <c r="AE448" s="6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8"/>
      <c r="AR448" s="9" t="n">
        <f aca="false">IFERROR(VLOOKUP($X448,Lotes!$A:$E,5,FALSE())*$U448,"")</f>
        <v>278100</v>
      </c>
      <c r="AS448" s="9" t="n">
        <f aca="false">IF($L448="","",$L448*2.6)</f>
        <v>723060</v>
      </c>
      <c r="AT448" s="9"/>
      <c r="AU448" s="9"/>
      <c r="AV448" s="9"/>
      <c r="AW448" s="9"/>
      <c r="AX448" s="7"/>
      <c r="AY448" s="7"/>
      <c r="AZ448" s="7"/>
      <c r="BA448" s="7" t="s">
        <v>2946</v>
      </c>
      <c r="BB448" s="7" t="s">
        <v>2947</v>
      </c>
      <c r="BC448" s="11" t="s">
        <v>2948</v>
      </c>
      <c r="BD448" s="7" t="s">
        <v>2052</v>
      </c>
      <c r="BE448" s="11"/>
    </row>
    <row r="449" customFormat="false" ht="15" hidden="false" customHeight="false" outlineLevel="0" collapsed="false">
      <c r="A449" s="6" t="n">
        <v>449</v>
      </c>
      <c r="B449" s="7"/>
      <c r="C449" s="7" t="s">
        <v>2949</v>
      </c>
      <c r="D449" s="8"/>
      <c r="E449" s="7"/>
      <c r="F449" s="7"/>
      <c r="G449" s="6" t="n">
        <v>15</v>
      </c>
      <c r="H449" s="7"/>
      <c r="I449" s="7"/>
      <c r="J449" s="7"/>
      <c r="K449" s="7" t="s">
        <v>2926</v>
      </c>
      <c r="L449" s="9" t="n">
        <v>1450050</v>
      </c>
      <c r="M449" s="9"/>
      <c r="N449" s="9"/>
      <c r="O449" s="7"/>
      <c r="P449" s="7"/>
      <c r="Q449" s="7" t="s">
        <v>155</v>
      </c>
      <c r="R449" s="7" t="s">
        <v>2950</v>
      </c>
      <c r="S449" s="7"/>
      <c r="T449" s="7"/>
      <c r="U449" s="10" t="n">
        <v>1</v>
      </c>
      <c r="V449" s="7"/>
      <c r="W449" s="7"/>
      <c r="X449" s="7" t="s">
        <v>2951</v>
      </c>
      <c r="Y449" s="12" t="b">
        <f aca="false">TRUE()</f>
        <v>1</v>
      </c>
      <c r="Z449" s="7"/>
      <c r="AA449" s="7" t="s">
        <v>2952</v>
      </c>
      <c r="AB449" s="8"/>
      <c r="AC449" s="6"/>
      <c r="AD449" s="6"/>
      <c r="AE449" s="6"/>
      <c r="AF449" s="7"/>
      <c r="AG449" s="7"/>
      <c r="AH449" s="7"/>
      <c r="AI449" s="7"/>
      <c r="AJ449" s="7"/>
      <c r="AK449" s="7"/>
      <c r="AL449" s="7" t="s">
        <v>2953</v>
      </c>
      <c r="AM449" s="7"/>
      <c r="AN449" s="7"/>
      <c r="AO449" s="7"/>
      <c r="AP449" s="7"/>
      <c r="AQ449" s="8" t="n">
        <v>2.52</v>
      </c>
      <c r="AR449" s="9" t="n">
        <f aca="false">IFERROR(VLOOKUP($X449,Lotes!$A:$E,5,FALSE())*$U449,"")</f>
        <v>1450050</v>
      </c>
      <c r="AS449" s="9" t="n">
        <f aca="false">IF($L449="","",$L449*2.6)</f>
        <v>3770130</v>
      </c>
      <c r="AT449" s="9"/>
      <c r="AU449" s="9"/>
      <c r="AV449" s="9"/>
      <c r="AW449" s="9"/>
      <c r="AX449" s="7"/>
      <c r="AY449" s="7"/>
      <c r="AZ449" s="7"/>
      <c r="BA449" s="7" t="s">
        <v>2954</v>
      </c>
      <c r="BB449" s="7" t="s">
        <v>2955</v>
      </c>
      <c r="BC449" s="11" t="s">
        <v>2956</v>
      </c>
      <c r="BD449" s="7" t="s">
        <v>2598</v>
      </c>
      <c r="BE449" s="11"/>
    </row>
    <row r="450" customFormat="false" ht="15" hidden="false" customHeight="false" outlineLevel="0" collapsed="false">
      <c r="A450" s="6" t="n">
        <v>450</v>
      </c>
      <c r="B450" s="7"/>
      <c r="C450" s="7" t="s">
        <v>2957</v>
      </c>
      <c r="D450" s="8"/>
      <c r="E450" s="7"/>
      <c r="F450" s="7"/>
      <c r="G450" s="6" t="n">
        <v>20</v>
      </c>
      <c r="H450" s="7"/>
      <c r="I450" s="7"/>
      <c r="J450" s="7"/>
      <c r="K450" s="7" t="s">
        <v>2926</v>
      </c>
      <c r="L450" s="9" t="n">
        <v>500000</v>
      </c>
      <c r="M450" s="9"/>
      <c r="N450" s="9"/>
      <c r="O450" s="7"/>
      <c r="P450" s="7"/>
      <c r="Q450" s="7" t="s">
        <v>155</v>
      </c>
      <c r="R450" s="7" t="s">
        <v>2958</v>
      </c>
      <c r="S450" s="7"/>
      <c r="T450" s="7"/>
      <c r="U450" s="10" t="n">
        <v>1</v>
      </c>
      <c r="V450" s="7"/>
      <c r="W450" s="7"/>
      <c r="X450" s="7" t="s">
        <v>2959</v>
      </c>
      <c r="Y450" s="12" t="b">
        <f aca="false">TRUE()</f>
        <v>1</v>
      </c>
      <c r="Z450" s="7"/>
      <c r="AA450" s="7" t="s">
        <v>2960</v>
      </c>
      <c r="AB450" s="8"/>
      <c r="AC450" s="6"/>
      <c r="AD450" s="6"/>
      <c r="AE450" s="6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8"/>
      <c r="AR450" s="9" t="n">
        <f aca="false">IFERROR(VLOOKUP($X450,Lotes!$A:$E,5,FALSE())*$U450,"")</f>
        <v>500000</v>
      </c>
      <c r="AS450" s="9" t="n">
        <f aca="false">IF($L450="","",$L450*2.6)</f>
        <v>1300000</v>
      </c>
      <c r="AT450" s="9"/>
      <c r="AU450" s="9"/>
      <c r="AV450" s="9"/>
      <c r="AW450" s="9"/>
      <c r="AX450" s="7"/>
      <c r="AY450" s="7"/>
      <c r="AZ450" s="7"/>
      <c r="BA450" s="7" t="s">
        <v>2961</v>
      </c>
      <c r="BB450" s="7" t="s">
        <v>2962</v>
      </c>
      <c r="BC450" s="11" t="s">
        <v>2963</v>
      </c>
      <c r="BD450" s="7" t="s">
        <v>2052</v>
      </c>
      <c r="BE450" s="11"/>
    </row>
    <row r="451" customFormat="false" ht="23.85" hidden="false" customHeight="false" outlineLevel="0" collapsed="false">
      <c r="A451" s="6" t="n">
        <v>451</v>
      </c>
      <c r="B451" s="7"/>
      <c r="C451" s="7" t="s">
        <v>2964</v>
      </c>
      <c r="D451" s="8"/>
      <c r="E451" s="7"/>
      <c r="F451" s="7"/>
      <c r="G451" s="6" t="n">
        <v>14</v>
      </c>
      <c r="H451" s="7"/>
      <c r="I451" s="7"/>
      <c r="J451" s="7"/>
      <c r="K451" s="7" t="s">
        <v>2926</v>
      </c>
      <c r="L451" s="9" t="n">
        <v>500000</v>
      </c>
      <c r="M451" s="9"/>
      <c r="N451" s="9"/>
      <c r="O451" s="7"/>
      <c r="P451" s="7"/>
      <c r="Q451" s="7" t="s">
        <v>155</v>
      </c>
      <c r="R451" s="7" t="s">
        <v>2965</v>
      </c>
      <c r="S451" s="7"/>
      <c r="T451" s="7"/>
      <c r="U451" s="10" t="n">
        <v>1</v>
      </c>
      <c r="V451" s="7"/>
      <c r="W451" s="7"/>
      <c r="X451" s="7" t="s">
        <v>2966</v>
      </c>
      <c r="Y451" s="12" t="b">
        <f aca="false">TRUE()</f>
        <v>1</v>
      </c>
      <c r="Z451" s="7"/>
      <c r="AA451" s="7" t="s">
        <v>2967</v>
      </c>
      <c r="AB451" s="8"/>
      <c r="AC451" s="6"/>
      <c r="AD451" s="6"/>
      <c r="AE451" s="6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8"/>
      <c r="AR451" s="9" t="n">
        <f aca="false">IFERROR(VLOOKUP($X451,Lotes!$A:$E,5,FALSE())*$U451,"")</f>
        <v>500000</v>
      </c>
      <c r="AS451" s="9" t="n">
        <f aca="false">IF($L451="","",$L451*2.6)</f>
        <v>1300000</v>
      </c>
      <c r="AT451" s="9"/>
      <c r="AU451" s="9"/>
      <c r="AV451" s="9"/>
      <c r="AW451" s="9"/>
      <c r="AX451" s="7"/>
      <c r="AY451" s="7"/>
      <c r="AZ451" s="7"/>
      <c r="BA451" s="7" t="s">
        <v>2968</v>
      </c>
      <c r="BB451" s="7" t="s">
        <v>2969</v>
      </c>
      <c r="BC451" s="11" t="s">
        <v>2970</v>
      </c>
      <c r="BD451" s="7" t="s">
        <v>2052</v>
      </c>
      <c r="BE451" s="11"/>
    </row>
    <row r="452" customFormat="false" ht="23.85" hidden="false" customHeight="false" outlineLevel="0" collapsed="false">
      <c r="A452" s="6" t="n">
        <v>452</v>
      </c>
      <c r="B452" s="7"/>
      <c r="C452" s="7" t="s">
        <v>2971</v>
      </c>
      <c r="D452" s="8" t="n">
        <v>4.32</v>
      </c>
      <c r="E452" s="7"/>
      <c r="F452" s="7" t="s">
        <v>2087</v>
      </c>
      <c r="G452" s="6" t="n">
        <v>4</v>
      </c>
      <c r="H452" s="7"/>
      <c r="I452" s="7" t="s">
        <v>303</v>
      </c>
      <c r="J452" s="7" t="s">
        <v>2972</v>
      </c>
      <c r="K452" s="7" t="s">
        <v>2973</v>
      </c>
      <c r="L452" s="9"/>
      <c r="M452" s="9"/>
      <c r="N452" s="9"/>
      <c r="O452" s="7"/>
      <c r="P452" s="7"/>
      <c r="Q452" s="7" t="s">
        <v>155</v>
      </c>
      <c r="R452" s="7" t="s">
        <v>2974</v>
      </c>
      <c r="S452" s="7" t="s">
        <v>2973</v>
      </c>
      <c r="T452" s="7"/>
      <c r="U452" s="10"/>
      <c r="V452" s="7"/>
      <c r="W452" s="7"/>
      <c r="X452" s="7"/>
      <c r="Y452" s="12" t="b">
        <f aca="false">TRUE()</f>
        <v>1</v>
      </c>
      <c r="Z452" s="7"/>
      <c r="AA452" s="7"/>
      <c r="AB452" s="8"/>
      <c r="AC452" s="6"/>
      <c r="AD452" s="6"/>
      <c r="AE452" s="6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8"/>
      <c r="AR452" s="9" t="str">
        <f aca="false">IFERROR(VLOOKUP($X452,Lotes!$A:$E,5,FALSE())*$U452,"")</f>
        <v/>
      </c>
      <c r="AS452" s="9" t="str">
        <f aca="false">IF($L452="","",$L452*2.6)</f>
        <v/>
      </c>
      <c r="AT452" s="9"/>
      <c r="AU452" s="9"/>
      <c r="AV452" s="9"/>
      <c r="AW452" s="9"/>
      <c r="AX452" s="7"/>
      <c r="AY452" s="7"/>
      <c r="AZ452" s="7"/>
      <c r="BA452" s="7" t="s">
        <v>2975</v>
      </c>
      <c r="BB452" s="7" t="s">
        <v>2976</v>
      </c>
      <c r="BC452" s="11" t="s">
        <v>2977</v>
      </c>
      <c r="BD452" s="7" t="s">
        <v>2883</v>
      </c>
      <c r="BE452" s="11"/>
    </row>
    <row r="453" customFormat="false" ht="15" hidden="false" customHeight="false" outlineLevel="0" collapsed="false">
      <c r="A453" s="6" t="n">
        <v>453</v>
      </c>
      <c r="B453" s="7"/>
      <c r="C453" s="7" t="s">
        <v>2978</v>
      </c>
      <c r="D453" s="8" t="n">
        <v>1.81</v>
      </c>
      <c r="E453" s="7"/>
      <c r="F453" s="7" t="s">
        <v>2087</v>
      </c>
      <c r="G453" s="6" t="n">
        <v>4</v>
      </c>
      <c r="H453" s="7"/>
      <c r="I453" s="7" t="s">
        <v>303</v>
      </c>
      <c r="J453" s="7" t="s">
        <v>2979</v>
      </c>
      <c r="K453" s="7" t="s">
        <v>2973</v>
      </c>
      <c r="L453" s="9"/>
      <c r="M453" s="9"/>
      <c r="N453" s="9"/>
      <c r="O453" s="7"/>
      <c r="P453" s="7"/>
      <c r="Q453" s="7" t="s">
        <v>155</v>
      </c>
      <c r="R453" s="7" t="s">
        <v>2980</v>
      </c>
      <c r="S453" s="7" t="s">
        <v>2973</v>
      </c>
      <c r="T453" s="7"/>
      <c r="U453" s="10"/>
      <c r="V453" s="7"/>
      <c r="W453" s="7"/>
      <c r="X453" s="7"/>
      <c r="Y453" s="12" t="b">
        <f aca="false">TRUE()</f>
        <v>1</v>
      </c>
      <c r="Z453" s="7"/>
      <c r="AA453" s="7"/>
      <c r="AB453" s="8"/>
      <c r="AC453" s="6"/>
      <c r="AD453" s="6"/>
      <c r="AE453" s="6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8"/>
      <c r="AR453" s="9" t="str">
        <f aca="false">IFERROR(VLOOKUP($X453,Lotes!$A:$E,5,FALSE())*$U453,"")</f>
        <v/>
      </c>
      <c r="AS453" s="9" t="str">
        <f aca="false">IF($L453="","",$L453*2.6)</f>
        <v/>
      </c>
      <c r="AT453" s="9"/>
      <c r="AU453" s="9"/>
      <c r="AV453" s="9"/>
      <c r="AW453" s="9"/>
      <c r="AX453" s="7"/>
      <c r="AY453" s="7"/>
      <c r="AZ453" s="7"/>
      <c r="BA453" s="7" t="s">
        <v>2981</v>
      </c>
      <c r="BB453" s="7" t="s">
        <v>2982</v>
      </c>
      <c r="BC453" s="11" t="s">
        <v>2983</v>
      </c>
      <c r="BD453" s="7" t="s">
        <v>2883</v>
      </c>
      <c r="BE453" s="11"/>
    </row>
    <row r="454" customFormat="false" ht="23.85" hidden="false" customHeight="false" outlineLevel="0" collapsed="false">
      <c r="A454" s="6" t="n">
        <v>454</v>
      </c>
      <c r="B454" s="7"/>
      <c r="C454" s="7" t="s">
        <v>2984</v>
      </c>
      <c r="D454" s="8"/>
      <c r="E454" s="7"/>
      <c r="F454" s="7" t="s">
        <v>2087</v>
      </c>
      <c r="G454" s="6" t="n">
        <v>11</v>
      </c>
      <c r="H454" s="7"/>
      <c r="I454" s="7"/>
      <c r="J454" s="7"/>
      <c r="K454" s="7" t="s">
        <v>2926</v>
      </c>
      <c r="L454" s="9" t="n">
        <v>0</v>
      </c>
      <c r="M454" s="9"/>
      <c r="N454" s="9"/>
      <c r="O454" s="7"/>
      <c r="P454" s="7"/>
      <c r="Q454" s="7" t="s">
        <v>155</v>
      </c>
      <c r="R454" s="7" t="s">
        <v>2985</v>
      </c>
      <c r="S454" s="7"/>
      <c r="T454" s="7"/>
      <c r="U454" s="10" t="n">
        <v>0</v>
      </c>
      <c r="V454" s="7"/>
      <c r="W454" s="7"/>
      <c r="X454" s="7" t="s">
        <v>2951</v>
      </c>
      <c r="Y454" s="12" t="b">
        <f aca="false">TRUE()</f>
        <v>1</v>
      </c>
      <c r="Z454" s="7"/>
      <c r="AA454" s="7" t="s">
        <v>2986</v>
      </c>
      <c r="AB454" s="8"/>
      <c r="AC454" s="6"/>
      <c r="AD454" s="6"/>
      <c r="AE454" s="6"/>
      <c r="AF454" s="7"/>
      <c r="AG454" s="7"/>
      <c r="AH454" s="7"/>
      <c r="AI454" s="7"/>
      <c r="AJ454" s="7"/>
      <c r="AK454" s="7"/>
      <c r="AL454" s="7" t="s">
        <v>2987</v>
      </c>
      <c r="AM454" s="7"/>
      <c r="AN454" s="7"/>
      <c r="AO454" s="7"/>
      <c r="AP454" s="7"/>
      <c r="AQ454" s="8" t="n">
        <v>2.46</v>
      </c>
      <c r="AR454" s="9" t="n">
        <f aca="false">IFERROR(VLOOKUP($X454,Lotes!$A:$E,5,FALSE())*$U454,"")</f>
        <v>0</v>
      </c>
      <c r="AS454" s="9" t="n">
        <f aca="false">IF($L454="","",$L454*2.6)</f>
        <v>0</v>
      </c>
      <c r="AT454" s="9"/>
      <c r="AU454" s="9"/>
      <c r="AV454" s="9"/>
      <c r="AW454" s="9"/>
      <c r="AX454" s="7"/>
      <c r="AY454" s="7"/>
      <c r="AZ454" s="7"/>
      <c r="BA454" s="7" t="s">
        <v>2988</v>
      </c>
      <c r="BB454" s="7" t="s">
        <v>2989</v>
      </c>
      <c r="BC454" s="11" t="s">
        <v>2990</v>
      </c>
      <c r="BD454" s="7" t="s">
        <v>2902</v>
      </c>
      <c r="BE454" s="11" t="s">
        <v>2991</v>
      </c>
    </row>
    <row r="455" customFormat="false" ht="15" hidden="false" customHeight="false" outlineLevel="0" collapsed="false">
      <c r="A455" s="6" t="n">
        <v>455</v>
      </c>
      <c r="B455" s="7"/>
      <c r="C455" s="7" t="s">
        <v>2992</v>
      </c>
      <c r="D455" s="8"/>
      <c r="E455" s="7"/>
      <c r="F455" s="7" t="s">
        <v>2087</v>
      </c>
      <c r="G455" s="6" t="n">
        <v>9</v>
      </c>
      <c r="H455" s="7"/>
      <c r="I455" s="7"/>
      <c r="J455" s="7"/>
      <c r="K455" s="7" t="s">
        <v>2926</v>
      </c>
      <c r="L455" s="9"/>
      <c r="M455" s="9"/>
      <c r="N455" s="9"/>
      <c r="O455" s="7"/>
      <c r="P455" s="7"/>
      <c r="Q455" s="7" t="s">
        <v>155</v>
      </c>
      <c r="R455" s="7" t="s">
        <v>2993</v>
      </c>
      <c r="S455" s="7"/>
      <c r="T455" s="7"/>
      <c r="U455" s="10"/>
      <c r="V455" s="7"/>
      <c r="W455" s="7"/>
      <c r="X455" s="7"/>
      <c r="Y455" s="12" t="b">
        <f aca="false">TRUE()</f>
        <v>1</v>
      </c>
      <c r="Z455" s="7"/>
      <c r="AA455" s="7" t="s">
        <v>2994</v>
      </c>
      <c r="AB455" s="8"/>
      <c r="AC455" s="6"/>
      <c r="AD455" s="6"/>
      <c r="AE455" s="6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8"/>
      <c r="AR455" s="9" t="str">
        <f aca="false">IFERROR(VLOOKUP($X455,Lotes!$A:$E,5,FALSE())*$U455,"")</f>
        <v/>
      </c>
      <c r="AS455" s="9" t="str">
        <f aca="false">IF($L455="","",$L455*2.6)</f>
        <v/>
      </c>
      <c r="AT455" s="9"/>
      <c r="AU455" s="9"/>
      <c r="AV455" s="9"/>
      <c r="AW455" s="9"/>
      <c r="AX455" s="7"/>
      <c r="AY455" s="7"/>
      <c r="AZ455" s="7"/>
      <c r="BA455" s="7" t="s">
        <v>2995</v>
      </c>
      <c r="BB455" s="7" t="s">
        <v>2996</v>
      </c>
      <c r="BC455" s="11" t="s">
        <v>2997</v>
      </c>
      <c r="BD455" s="7" t="s">
        <v>2883</v>
      </c>
      <c r="BE455" s="11"/>
    </row>
    <row r="456" customFormat="false" ht="23.85" hidden="false" customHeight="false" outlineLevel="0" collapsed="false">
      <c r="A456" s="6" t="n">
        <v>456</v>
      </c>
      <c r="B456" s="7"/>
      <c r="C456" s="7" t="s">
        <v>2998</v>
      </c>
      <c r="D456" s="8"/>
      <c r="E456" s="7"/>
      <c r="F456" s="7" t="s">
        <v>2087</v>
      </c>
      <c r="G456" s="6" t="n">
        <v>7</v>
      </c>
      <c r="H456" s="7"/>
      <c r="I456" s="7"/>
      <c r="J456" s="7"/>
      <c r="K456" s="7" t="s">
        <v>2926</v>
      </c>
      <c r="L456" s="9" t="n">
        <v>0</v>
      </c>
      <c r="M456" s="9"/>
      <c r="N456" s="9"/>
      <c r="O456" s="7"/>
      <c r="P456" s="7"/>
      <c r="Q456" s="7" t="s">
        <v>155</v>
      </c>
      <c r="R456" s="7" t="s">
        <v>2999</v>
      </c>
      <c r="S456" s="7"/>
      <c r="T456" s="7"/>
      <c r="U456" s="10" t="n">
        <v>0</v>
      </c>
      <c r="V456" s="7"/>
      <c r="W456" s="7"/>
      <c r="X456" s="7" t="s">
        <v>2951</v>
      </c>
      <c r="Y456" s="12" t="b">
        <f aca="false">TRUE()</f>
        <v>1</v>
      </c>
      <c r="Z456" s="7"/>
      <c r="AA456" s="7" t="s">
        <v>3000</v>
      </c>
      <c r="AB456" s="8"/>
      <c r="AC456" s="6"/>
      <c r="AD456" s="6"/>
      <c r="AE456" s="6"/>
      <c r="AF456" s="7"/>
      <c r="AG456" s="7"/>
      <c r="AH456" s="7"/>
      <c r="AI456" s="7"/>
      <c r="AJ456" s="7"/>
      <c r="AK456" s="7"/>
      <c r="AL456" s="7" t="s">
        <v>3001</v>
      </c>
      <c r="AM456" s="7"/>
      <c r="AN456" s="7"/>
      <c r="AO456" s="7"/>
      <c r="AP456" s="7"/>
      <c r="AQ456" s="8" t="n">
        <v>3.88</v>
      </c>
      <c r="AR456" s="9" t="n">
        <f aca="false">IFERROR(VLOOKUP($X456,Lotes!$A:$E,5,FALSE())*$U456,"")</f>
        <v>0</v>
      </c>
      <c r="AS456" s="9" t="n">
        <f aca="false">IF($L456="","",$L456*2.6)</f>
        <v>0</v>
      </c>
      <c r="AT456" s="9"/>
      <c r="AU456" s="9"/>
      <c r="AV456" s="9"/>
      <c r="AW456" s="9"/>
      <c r="AX456" s="7"/>
      <c r="AY456" s="7"/>
      <c r="AZ456" s="7"/>
      <c r="BA456" s="7" t="s">
        <v>3002</v>
      </c>
      <c r="BB456" s="7" t="s">
        <v>3003</v>
      </c>
      <c r="BC456" s="11" t="s">
        <v>3004</v>
      </c>
      <c r="BD456" s="7" t="s">
        <v>2902</v>
      </c>
      <c r="BE456" s="11" t="s">
        <v>2991</v>
      </c>
    </row>
    <row r="457" customFormat="false" ht="15" hidden="false" customHeight="false" outlineLevel="0" collapsed="false">
      <c r="A457" s="6" t="n">
        <v>457</v>
      </c>
      <c r="B457" s="7"/>
      <c r="C457" s="7" t="s">
        <v>3005</v>
      </c>
      <c r="D457" s="8"/>
      <c r="E457" s="7"/>
      <c r="F457" s="7" t="s">
        <v>2087</v>
      </c>
      <c r="G457" s="6" t="n">
        <v>1</v>
      </c>
      <c r="H457" s="7"/>
      <c r="I457" s="7"/>
      <c r="J457" s="7"/>
      <c r="K457" s="7" t="s">
        <v>2926</v>
      </c>
      <c r="L457" s="9"/>
      <c r="M457" s="9"/>
      <c r="N457" s="9"/>
      <c r="O457" s="7"/>
      <c r="P457" s="7"/>
      <c r="Q457" s="7" t="s">
        <v>155</v>
      </c>
      <c r="R457" s="7" t="s">
        <v>3006</v>
      </c>
      <c r="S457" s="7"/>
      <c r="T457" s="7"/>
      <c r="U457" s="10"/>
      <c r="V457" s="7"/>
      <c r="W457" s="7"/>
      <c r="X457" s="7"/>
      <c r="Y457" s="12" t="b">
        <f aca="false">TRUE()</f>
        <v>1</v>
      </c>
      <c r="Z457" s="7"/>
      <c r="AA457" s="7" t="s">
        <v>3007</v>
      </c>
      <c r="AB457" s="8"/>
      <c r="AC457" s="6"/>
      <c r="AD457" s="6"/>
      <c r="AE457" s="6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8"/>
      <c r="AR457" s="9" t="str">
        <f aca="false">IFERROR(VLOOKUP($X457,Lotes!$A:$E,5,FALSE())*$U457,"")</f>
        <v/>
      </c>
      <c r="AS457" s="9" t="str">
        <f aca="false">IF($L457="","",$L457*2.6)</f>
        <v/>
      </c>
      <c r="AT457" s="9"/>
      <c r="AU457" s="9"/>
      <c r="AV457" s="9"/>
      <c r="AW457" s="9"/>
      <c r="AX457" s="7"/>
      <c r="AY457" s="7"/>
      <c r="AZ457" s="7"/>
      <c r="BA457" s="7" t="s">
        <v>3008</v>
      </c>
      <c r="BB457" s="7" t="s">
        <v>3009</v>
      </c>
      <c r="BC457" s="11" t="s">
        <v>3010</v>
      </c>
      <c r="BD457" s="7" t="s">
        <v>2883</v>
      </c>
      <c r="BE457" s="11"/>
    </row>
    <row r="458" customFormat="false" ht="23.85" hidden="false" customHeight="false" outlineLevel="0" collapsed="false">
      <c r="A458" s="6" t="n">
        <v>458</v>
      </c>
      <c r="B458" s="7"/>
      <c r="C458" s="7" t="s">
        <v>3011</v>
      </c>
      <c r="D458" s="8"/>
      <c r="E458" s="7"/>
      <c r="F458" s="7" t="s">
        <v>2087</v>
      </c>
      <c r="G458" s="6" t="n">
        <v>0</v>
      </c>
      <c r="H458" s="7"/>
      <c r="I458" s="7"/>
      <c r="J458" s="7"/>
      <c r="K458" s="7" t="s">
        <v>2926</v>
      </c>
      <c r="L458" s="9" t="n">
        <v>0</v>
      </c>
      <c r="M458" s="9"/>
      <c r="N458" s="9"/>
      <c r="O458" s="7"/>
      <c r="P458" s="7"/>
      <c r="Q458" s="7" t="s">
        <v>155</v>
      </c>
      <c r="R458" s="7" t="s">
        <v>3012</v>
      </c>
      <c r="S458" s="7"/>
      <c r="T458" s="7"/>
      <c r="U458" s="10" t="n">
        <v>0</v>
      </c>
      <c r="V458" s="7"/>
      <c r="W458" s="7"/>
      <c r="X458" s="7" t="s">
        <v>2951</v>
      </c>
      <c r="Y458" s="12" t="b">
        <f aca="false">TRUE()</f>
        <v>1</v>
      </c>
      <c r="Z458" s="7"/>
      <c r="AA458" s="7" t="s">
        <v>3013</v>
      </c>
      <c r="AB458" s="8"/>
      <c r="AC458" s="6"/>
      <c r="AD458" s="6"/>
      <c r="AE458" s="6"/>
      <c r="AF458" s="7"/>
      <c r="AG458" s="7"/>
      <c r="AH458" s="7"/>
      <c r="AI458" s="7"/>
      <c r="AJ458" s="7"/>
      <c r="AK458" s="7"/>
      <c r="AL458" s="7" t="s">
        <v>3014</v>
      </c>
      <c r="AM458" s="7"/>
      <c r="AN458" s="7"/>
      <c r="AO458" s="7"/>
      <c r="AP458" s="7"/>
      <c r="AQ458" s="8" t="n">
        <v>4.22</v>
      </c>
      <c r="AR458" s="9" t="n">
        <f aca="false">IFERROR(VLOOKUP($X458,Lotes!$A:$E,5,FALSE())*$U458,"")</f>
        <v>0</v>
      </c>
      <c r="AS458" s="9" t="n">
        <f aca="false">IF($L458="","",$L458*2.6)</f>
        <v>0</v>
      </c>
      <c r="AT458" s="9"/>
      <c r="AU458" s="9"/>
      <c r="AV458" s="9"/>
      <c r="AW458" s="9"/>
      <c r="AX458" s="7"/>
      <c r="AY458" s="7"/>
      <c r="AZ458" s="7"/>
      <c r="BA458" s="7" t="s">
        <v>3015</v>
      </c>
      <c r="BB458" s="7" t="s">
        <v>3016</v>
      </c>
      <c r="BC458" s="11" t="s">
        <v>3017</v>
      </c>
      <c r="BD458" s="7" t="s">
        <v>2902</v>
      </c>
      <c r="BE458" s="11" t="s">
        <v>2991</v>
      </c>
    </row>
    <row r="459" customFormat="false" ht="15" hidden="false" customHeight="false" outlineLevel="0" collapsed="false">
      <c r="A459" s="6" t="n">
        <v>459</v>
      </c>
      <c r="B459" s="7"/>
      <c r="C459" s="7" t="s">
        <v>3018</v>
      </c>
      <c r="D459" s="8"/>
      <c r="E459" s="7"/>
      <c r="F459" s="7" t="s">
        <v>2087</v>
      </c>
      <c r="G459" s="6" t="n">
        <v>6</v>
      </c>
      <c r="H459" s="7"/>
      <c r="I459" s="7"/>
      <c r="J459" s="7"/>
      <c r="K459" s="7" t="s">
        <v>2926</v>
      </c>
      <c r="L459" s="9"/>
      <c r="M459" s="9"/>
      <c r="N459" s="9"/>
      <c r="O459" s="7"/>
      <c r="P459" s="7"/>
      <c r="Q459" s="7" t="s">
        <v>155</v>
      </c>
      <c r="R459" s="7" t="s">
        <v>3019</v>
      </c>
      <c r="S459" s="7"/>
      <c r="T459" s="7"/>
      <c r="U459" s="10"/>
      <c r="V459" s="7"/>
      <c r="W459" s="7"/>
      <c r="X459" s="7"/>
      <c r="Y459" s="12" t="b">
        <f aca="false">TRUE()</f>
        <v>1</v>
      </c>
      <c r="Z459" s="7"/>
      <c r="AA459" s="7" t="s">
        <v>3020</v>
      </c>
      <c r="AB459" s="8"/>
      <c r="AC459" s="6"/>
      <c r="AD459" s="6"/>
      <c r="AE459" s="6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8"/>
      <c r="AR459" s="9" t="str">
        <f aca="false">IFERROR(VLOOKUP($X459,Lotes!$A:$E,5,FALSE())*$U459,"")</f>
        <v/>
      </c>
      <c r="AS459" s="9" t="str">
        <f aca="false">IF($L459="","",$L459*2.6)</f>
        <v/>
      </c>
      <c r="AT459" s="9"/>
      <c r="AU459" s="9"/>
      <c r="AV459" s="9"/>
      <c r="AW459" s="9"/>
      <c r="AX459" s="7"/>
      <c r="AY459" s="7"/>
      <c r="AZ459" s="7"/>
      <c r="BA459" s="7" t="s">
        <v>3021</v>
      </c>
      <c r="BB459" s="7" t="s">
        <v>3022</v>
      </c>
      <c r="BC459" s="11" t="s">
        <v>3023</v>
      </c>
      <c r="BD459" s="7" t="s">
        <v>2883</v>
      </c>
      <c r="BE459" s="11"/>
    </row>
    <row r="460" customFormat="false" ht="23.85" hidden="false" customHeight="false" outlineLevel="0" collapsed="false">
      <c r="A460" s="6" t="n">
        <v>460</v>
      </c>
      <c r="B460" s="7"/>
      <c r="C460" s="7" t="s">
        <v>3024</v>
      </c>
      <c r="D460" s="8"/>
      <c r="E460" s="7"/>
      <c r="F460" s="7" t="s">
        <v>2087</v>
      </c>
      <c r="G460" s="6" t="n">
        <v>6</v>
      </c>
      <c r="H460" s="7"/>
      <c r="I460" s="7"/>
      <c r="J460" s="7"/>
      <c r="K460" s="7" t="s">
        <v>2926</v>
      </c>
      <c r="L460" s="9" t="n">
        <v>0</v>
      </c>
      <c r="M460" s="9"/>
      <c r="N460" s="9"/>
      <c r="O460" s="7"/>
      <c r="P460" s="7"/>
      <c r="Q460" s="7" t="s">
        <v>155</v>
      </c>
      <c r="R460" s="7" t="s">
        <v>3025</v>
      </c>
      <c r="S460" s="7"/>
      <c r="T460" s="7"/>
      <c r="U460" s="10" t="n">
        <v>0</v>
      </c>
      <c r="V460" s="7"/>
      <c r="W460" s="7"/>
      <c r="X460" s="7" t="s">
        <v>2951</v>
      </c>
      <c r="Y460" s="12" t="b">
        <f aca="false">TRUE()</f>
        <v>1</v>
      </c>
      <c r="Z460" s="7"/>
      <c r="AA460" s="7" t="s">
        <v>3026</v>
      </c>
      <c r="AB460" s="8"/>
      <c r="AC460" s="6"/>
      <c r="AD460" s="6"/>
      <c r="AE460" s="6"/>
      <c r="AF460" s="7"/>
      <c r="AG460" s="7"/>
      <c r="AH460" s="7"/>
      <c r="AI460" s="7"/>
      <c r="AJ460" s="7"/>
      <c r="AK460" s="7"/>
      <c r="AL460" s="7" t="s">
        <v>3027</v>
      </c>
      <c r="AM460" s="7"/>
      <c r="AN460" s="7"/>
      <c r="AO460" s="7"/>
      <c r="AP460" s="7"/>
      <c r="AQ460" s="8" t="n">
        <v>3.06</v>
      </c>
      <c r="AR460" s="9" t="n">
        <f aca="false">IFERROR(VLOOKUP($X460,Lotes!$A:$E,5,FALSE())*$U460,"")</f>
        <v>0</v>
      </c>
      <c r="AS460" s="9" t="n">
        <f aca="false">IF($L460="","",$L460*2.6)</f>
        <v>0</v>
      </c>
      <c r="AT460" s="9"/>
      <c r="AU460" s="9"/>
      <c r="AV460" s="9"/>
      <c r="AW460" s="9"/>
      <c r="AX460" s="7"/>
      <c r="AY460" s="7"/>
      <c r="AZ460" s="7"/>
      <c r="BA460" s="7" t="s">
        <v>3028</v>
      </c>
      <c r="BB460" s="7" t="s">
        <v>3029</v>
      </c>
      <c r="BC460" s="11" t="s">
        <v>3030</v>
      </c>
      <c r="BD460" s="7" t="s">
        <v>2902</v>
      </c>
      <c r="BE460" s="11" t="s">
        <v>2991</v>
      </c>
    </row>
    <row r="461" customFormat="false" ht="15" hidden="false" customHeight="false" outlineLevel="0" collapsed="false">
      <c r="A461" s="6" t="n">
        <v>461</v>
      </c>
      <c r="B461" s="7"/>
      <c r="C461" s="7" t="s">
        <v>3031</v>
      </c>
      <c r="D461" s="8"/>
      <c r="E461" s="7"/>
      <c r="F461" s="7" t="s">
        <v>2087</v>
      </c>
      <c r="G461" s="6" t="n">
        <v>1</v>
      </c>
      <c r="H461" s="7"/>
      <c r="I461" s="7"/>
      <c r="J461" s="7"/>
      <c r="K461" s="7" t="s">
        <v>2926</v>
      </c>
      <c r="L461" s="9"/>
      <c r="M461" s="9"/>
      <c r="N461" s="9"/>
      <c r="O461" s="7"/>
      <c r="P461" s="7"/>
      <c r="Q461" s="7" t="s">
        <v>155</v>
      </c>
      <c r="R461" s="7" t="s">
        <v>3032</v>
      </c>
      <c r="S461" s="7"/>
      <c r="T461" s="7"/>
      <c r="U461" s="10"/>
      <c r="V461" s="7"/>
      <c r="W461" s="7"/>
      <c r="X461" s="7"/>
      <c r="Y461" s="12" t="b">
        <f aca="false">TRUE()</f>
        <v>1</v>
      </c>
      <c r="Z461" s="7"/>
      <c r="AA461" s="7" t="s">
        <v>3033</v>
      </c>
      <c r="AB461" s="8"/>
      <c r="AC461" s="6"/>
      <c r="AD461" s="6"/>
      <c r="AE461" s="6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8"/>
      <c r="AR461" s="9" t="str">
        <f aca="false">IFERROR(VLOOKUP($X461,Lotes!$A:$E,5,FALSE())*$U461,"")</f>
        <v/>
      </c>
      <c r="AS461" s="9" t="str">
        <f aca="false">IF($L461="","",$L461*2.6)</f>
        <v/>
      </c>
      <c r="AT461" s="9"/>
      <c r="AU461" s="9"/>
      <c r="AV461" s="9"/>
      <c r="AW461" s="9"/>
      <c r="AX461" s="7"/>
      <c r="AY461" s="7"/>
      <c r="AZ461" s="7"/>
      <c r="BA461" s="7" t="s">
        <v>3034</v>
      </c>
      <c r="BB461" s="7" t="s">
        <v>3035</v>
      </c>
      <c r="BC461" s="11" t="s">
        <v>3036</v>
      </c>
      <c r="BD461" s="7" t="s">
        <v>2883</v>
      </c>
      <c r="BE461" s="11"/>
    </row>
    <row r="462" customFormat="false" ht="23.85" hidden="false" customHeight="false" outlineLevel="0" collapsed="false">
      <c r="A462" s="6" t="n">
        <v>462</v>
      </c>
      <c r="B462" s="7"/>
      <c r="C462" s="7" t="s">
        <v>3037</v>
      </c>
      <c r="D462" s="8" t="n">
        <v>0.47</v>
      </c>
      <c r="E462" s="7"/>
      <c r="F462" s="7" t="s">
        <v>2087</v>
      </c>
      <c r="G462" s="6" t="n">
        <v>1</v>
      </c>
      <c r="H462" s="7"/>
      <c r="I462" s="7"/>
      <c r="J462" s="7"/>
      <c r="K462" s="7" t="s">
        <v>2926</v>
      </c>
      <c r="L462" s="9"/>
      <c r="M462" s="9"/>
      <c r="N462" s="9"/>
      <c r="O462" s="7"/>
      <c r="P462" s="7"/>
      <c r="Q462" s="7" t="s">
        <v>155</v>
      </c>
      <c r="R462" s="7" t="s">
        <v>3038</v>
      </c>
      <c r="S462" s="7"/>
      <c r="T462" s="7"/>
      <c r="U462" s="10"/>
      <c r="V462" s="7"/>
      <c r="W462" s="7"/>
      <c r="X462" s="7"/>
      <c r="Y462" s="12" t="b">
        <f aca="false">TRUE()</f>
        <v>1</v>
      </c>
      <c r="Z462" s="7"/>
      <c r="AA462" s="7" t="s">
        <v>3039</v>
      </c>
      <c r="AB462" s="8"/>
      <c r="AC462" s="6"/>
      <c r="AD462" s="6"/>
      <c r="AE462" s="6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8"/>
      <c r="AR462" s="9" t="str">
        <f aca="false">IFERROR(VLOOKUP($X462,Lotes!$A:$E,5,FALSE())*$U462,"")</f>
        <v/>
      </c>
      <c r="AS462" s="9" t="str">
        <f aca="false">IF($L462="","",$L462*2.6)</f>
        <v/>
      </c>
      <c r="AT462" s="9"/>
      <c r="AU462" s="9"/>
      <c r="AV462" s="9"/>
      <c r="AW462" s="9"/>
      <c r="AX462" s="7"/>
      <c r="AY462" s="7"/>
      <c r="AZ462" s="7"/>
      <c r="BA462" s="7" t="s">
        <v>3040</v>
      </c>
      <c r="BB462" s="7" t="s">
        <v>3041</v>
      </c>
      <c r="BC462" s="11" t="s">
        <v>3042</v>
      </c>
      <c r="BD462" s="7" t="s">
        <v>2883</v>
      </c>
      <c r="BE462" s="11"/>
    </row>
    <row r="463" customFormat="false" ht="23.85" hidden="false" customHeight="false" outlineLevel="0" collapsed="false">
      <c r="A463" s="6" t="n">
        <v>463</v>
      </c>
      <c r="B463" s="7"/>
      <c r="C463" s="7" t="s">
        <v>3043</v>
      </c>
      <c r="D463" s="8"/>
      <c r="E463" s="7"/>
      <c r="F463" s="7" t="s">
        <v>2087</v>
      </c>
      <c r="G463" s="6" t="n">
        <v>1</v>
      </c>
      <c r="H463" s="7"/>
      <c r="I463" s="7"/>
      <c r="J463" s="7"/>
      <c r="K463" s="7" t="s">
        <v>2926</v>
      </c>
      <c r="L463" s="9" t="n">
        <v>0</v>
      </c>
      <c r="M463" s="9"/>
      <c r="N463" s="9"/>
      <c r="O463" s="7"/>
      <c r="P463" s="7"/>
      <c r="Q463" s="7" t="s">
        <v>155</v>
      </c>
      <c r="R463" s="7" t="s">
        <v>3044</v>
      </c>
      <c r="S463" s="7"/>
      <c r="T463" s="7"/>
      <c r="U463" s="10" t="n">
        <v>0</v>
      </c>
      <c r="V463" s="7"/>
      <c r="W463" s="7"/>
      <c r="X463" s="7" t="s">
        <v>2951</v>
      </c>
      <c r="Y463" s="12" t="b">
        <f aca="false">TRUE()</f>
        <v>1</v>
      </c>
      <c r="Z463" s="7"/>
      <c r="AA463" s="7" t="s">
        <v>3045</v>
      </c>
      <c r="AB463" s="8"/>
      <c r="AC463" s="6"/>
      <c r="AD463" s="6"/>
      <c r="AE463" s="6"/>
      <c r="AF463" s="7"/>
      <c r="AG463" s="7"/>
      <c r="AH463" s="7"/>
      <c r="AI463" s="7"/>
      <c r="AJ463" s="7"/>
      <c r="AK463" s="7"/>
      <c r="AL463" s="7" t="s">
        <v>3046</v>
      </c>
      <c r="AM463" s="7"/>
      <c r="AN463" s="7"/>
      <c r="AO463" s="7"/>
      <c r="AP463" s="7"/>
      <c r="AQ463" s="8" t="n">
        <v>0.37</v>
      </c>
      <c r="AR463" s="9" t="n">
        <f aca="false">IFERROR(VLOOKUP($X463,Lotes!$A:$E,5,FALSE())*$U463,"")</f>
        <v>0</v>
      </c>
      <c r="AS463" s="9" t="n">
        <f aca="false">IF($L463="","",$L463*2.6)</f>
        <v>0</v>
      </c>
      <c r="AT463" s="9"/>
      <c r="AU463" s="9"/>
      <c r="AV463" s="9"/>
      <c r="AW463" s="9"/>
      <c r="AX463" s="7"/>
      <c r="AY463" s="7"/>
      <c r="AZ463" s="7"/>
      <c r="BA463" s="7" t="s">
        <v>3047</v>
      </c>
      <c r="BB463" s="7" t="s">
        <v>3048</v>
      </c>
      <c r="BC463" s="11" t="s">
        <v>3049</v>
      </c>
      <c r="BD463" s="7" t="s">
        <v>2902</v>
      </c>
      <c r="BE463" s="11" t="s">
        <v>2991</v>
      </c>
    </row>
    <row r="464" customFormat="false" ht="35.05" hidden="false" customHeight="false" outlineLevel="0" collapsed="false">
      <c r="A464" s="6" t="n">
        <v>464</v>
      </c>
      <c r="B464" s="7"/>
      <c r="C464" s="7" t="s">
        <v>3050</v>
      </c>
      <c r="D464" s="8"/>
      <c r="E464" s="7"/>
      <c r="F464" s="7" t="s">
        <v>2087</v>
      </c>
      <c r="G464" s="6" t="n">
        <v>7</v>
      </c>
      <c r="H464" s="7"/>
      <c r="I464" s="7" t="s">
        <v>271</v>
      </c>
      <c r="J464" s="7" t="s">
        <v>3051</v>
      </c>
      <c r="K464" s="7" t="s">
        <v>2926</v>
      </c>
      <c r="L464" s="9" t="n">
        <v>0</v>
      </c>
      <c r="M464" s="9"/>
      <c r="N464" s="9"/>
      <c r="O464" s="7"/>
      <c r="P464" s="7"/>
      <c r="Q464" s="7" t="s">
        <v>155</v>
      </c>
      <c r="R464" s="7" t="s">
        <v>3052</v>
      </c>
      <c r="S464" s="7"/>
      <c r="T464" s="7"/>
      <c r="U464" s="10" t="n">
        <v>0</v>
      </c>
      <c r="V464" s="7"/>
      <c r="W464" s="7"/>
      <c r="X464" s="7" t="s">
        <v>2951</v>
      </c>
      <c r="Y464" s="12" t="b">
        <f aca="false">TRUE()</f>
        <v>1</v>
      </c>
      <c r="Z464" s="7"/>
      <c r="AA464" s="7" t="s">
        <v>3053</v>
      </c>
      <c r="AB464" s="8"/>
      <c r="AC464" s="6"/>
      <c r="AD464" s="6"/>
      <c r="AE464" s="6"/>
      <c r="AF464" s="7"/>
      <c r="AG464" s="7"/>
      <c r="AH464" s="7"/>
      <c r="AI464" s="7"/>
      <c r="AJ464" s="7"/>
      <c r="AK464" s="7"/>
      <c r="AL464" s="7" t="s">
        <v>3054</v>
      </c>
      <c r="AM464" s="7"/>
      <c r="AN464" s="7"/>
      <c r="AO464" s="7"/>
      <c r="AP464" s="7"/>
      <c r="AQ464" s="8" t="n">
        <v>2.99</v>
      </c>
      <c r="AR464" s="9" t="n">
        <f aca="false">IFERROR(VLOOKUP($X464,Lotes!$A:$E,5,FALSE())*$U464,"")</f>
        <v>0</v>
      </c>
      <c r="AS464" s="9" t="n">
        <f aca="false">IF($L464="","",$L464*2.6)</f>
        <v>0</v>
      </c>
      <c r="AT464" s="9"/>
      <c r="AU464" s="9"/>
      <c r="AV464" s="9"/>
      <c r="AW464" s="9"/>
      <c r="AX464" s="7"/>
      <c r="AY464" s="7"/>
      <c r="AZ464" s="7"/>
      <c r="BA464" s="7" t="s">
        <v>3055</v>
      </c>
      <c r="BB464" s="7" t="s">
        <v>3056</v>
      </c>
      <c r="BC464" s="11" t="s">
        <v>3057</v>
      </c>
      <c r="BD464" s="7" t="s">
        <v>2902</v>
      </c>
      <c r="BE464" s="11" t="s">
        <v>3058</v>
      </c>
    </row>
    <row r="465" customFormat="false" ht="23.85" hidden="false" customHeight="false" outlineLevel="0" collapsed="false">
      <c r="A465" s="6" t="n">
        <v>465</v>
      </c>
      <c r="B465" s="7"/>
      <c r="C465" s="7" t="s">
        <v>3059</v>
      </c>
      <c r="D465" s="8"/>
      <c r="E465" s="7"/>
      <c r="F465" s="7" t="s">
        <v>2087</v>
      </c>
      <c r="G465" s="6" t="n">
        <v>6</v>
      </c>
      <c r="H465" s="7"/>
      <c r="I465" s="7"/>
      <c r="J465" s="7"/>
      <c r="K465" s="7" t="s">
        <v>2926</v>
      </c>
      <c r="L465" s="9" t="n">
        <v>0</v>
      </c>
      <c r="M465" s="9"/>
      <c r="N465" s="9"/>
      <c r="O465" s="7"/>
      <c r="P465" s="7"/>
      <c r="Q465" s="7" t="s">
        <v>155</v>
      </c>
      <c r="R465" s="7" t="s">
        <v>3060</v>
      </c>
      <c r="S465" s="7"/>
      <c r="T465" s="7"/>
      <c r="U465" s="10" t="n">
        <v>0</v>
      </c>
      <c r="V465" s="7"/>
      <c r="W465" s="7"/>
      <c r="X465" s="7" t="s">
        <v>2951</v>
      </c>
      <c r="Y465" s="12" t="b">
        <f aca="false">TRUE()</f>
        <v>1</v>
      </c>
      <c r="Z465" s="7"/>
      <c r="AA465" s="7" t="s">
        <v>3061</v>
      </c>
      <c r="AB465" s="8"/>
      <c r="AC465" s="6"/>
      <c r="AD465" s="6"/>
      <c r="AE465" s="6"/>
      <c r="AF465" s="7"/>
      <c r="AG465" s="7"/>
      <c r="AH465" s="7"/>
      <c r="AI465" s="7"/>
      <c r="AJ465" s="7"/>
      <c r="AK465" s="7"/>
      <c r="AL465" s="7" t="s">
        <v>3062</v>
      </c>
      <c r="AM465" s="7"/>
      <c r="AN465" s="7"/>
      <c r="AO465" s="7"/>
      <c r="AP465" s="7"/>
      <c r="AQ465" s="8" t="n">
        <v>1.94</v>
      </c>
      <c r="AR465" s="9" t="n">
        <f aca="false">IFERROR(VLOOKUP($X465,Lotes!$A:$E,5,FALSE())*$U465,"")</f>
        <v>0</v>
      </c>
      <c r="AS465" s="9" t="n">
        <f aca="false">IF($L465="","",$L465*2.6)</f>
        <v>0</v>
      </c>
      <c r="AT465" s="9"/>
      <c r="AU465" s="9"/>
      <c r="AV465" s="9"/>
      <c r="AW465" s="9"/>
      <c r="AX465" s="7"/>
      <c r="AY465" s="7"/>
      <c r="AZ465" s="7"/>
      <c r="BA465" s="7" t="s">
        <v>3063</v>
      </c>
      <c r="BB465" s="7" t="s">
        <v>3064</v>
      </c>
      <c r="BC465" s="11" t="s">
        <v>3065</v>
      </c>
      <c r="BD465" s="7" t="s">
        <v>2902</v>
      </c>
      <c r="BE465" s="11" t="s">
        <v>2991</v>
      </c>
    </row>
    <row r="466" customFormat="false" ht="23.85" hidden="false" customHeight="false" outlineLevel="0" collapsed="false">
      <c r="A466" s="6" t="n">
        <v>466</v>
      </c>
      <c r="B466" s="7"/>
      <c r="C466" s="7" t="s">
        <v>3066</v>
      </c>
      <c r="D466" s="8" t="n">
        <v>0.37</v>
      </c>
      <c r="E466" s="7"/>
      <c r="F466" s="7" t="s">
        <v>2087</v>
      </c>
      <c r="G466" s="6" t="n">
        <v>1</v>
      </c>
      <c r="H466" s="7"/>
      <c r="I466" s="7"/>
      <c r="J466" s="7"/>
      <c r="K466" s="7" t="s">
        <v>2926</v>
      </c>
      <c r="L466" s="9" t="n">
        <v>0</v>
      </c>
      <c r="M466" s="9"/>
      <c r="N466" s="9"/>
      <c r="O466" s="7"/>
      <c r="P466" s="7"/>
      <c r="Q466" s="7" t="s">
        <v>155</v>
      </c>
      <c r="R466" s="7" t="s">
        <v>3067</v>
      </c>
      <c r="S466" s="7"/>
      <c r="T466" s="7"/>
      <c r="U466" s="10" t="n">
        <v>0</v>
      </c>
      <c r="V466" s="7"/>
      <c r="W466" s="7"/>
      <c r="X466" s="7" t="s">
        <v>2951</v>
      </c>
      <c r="Y466" s="12" t="b">
        <f aca="false">TRUE()</f>
        <v>1</v>
      </c>
      <c r="Z466" s="7"/>
      <c r="AA466" s="7" t="s">
        <v>3068</v>
      </c>
      <c r="AB466" s="8"/>
      <c r="AC466" s="6"/>
      <c r="AD466" s="6"/>
      <c r="AE466" s="6"/>
      <c r="AF466" s="7"/>
      <c r="AG466" s="7"/>
      <c r="AH466" s="7"/>
      <c r="AI466" s="7"/>
      <c r="AJ466" s="7"/>
      <c r="AK466" s="7"/>
      <c r="AL466" s="7" t="s">
        <v>3069</v>
      </c>
      <c r="AM466" s="7"/>
      <c r="AN466" s="7"/>
      <c r="AO466" s="7"/>
      <c r="AP466" s="7"/>
      <c r="AQ466" s="8" t="n">
        <v>0.37</v>
      </c>
      <c r="AR466" s="9" t="n">
        <f aca="false">IFERROR(VLOOKUP($X466,Lotes!$A:$E,5,FALSE())*$U466,"")</f>
        <v>0</v>
      </c>
      <c r="AS466" s="9" t="n">
        <f aca="false">IF($L466="","",$L466*2.6)</f>
        <v>0</v>
      </c>
      <c r="AT466" s="9"/>
      <c r="AU466" s="9"/>
      <c r="AV466" s="9"/>
      <c r="AW466" s="9"/>
      <c r="AX466" s="7"/>
      <c r="AY466" s="7"/>
      <c r="AZ466" s="7"/>
      <c r="BA466" s="7" t="s">
        <v>3070</v>
      </c>
      <c r="BB466" s="7" t="s">
        <v>3071</v>
      </c>
      <c r="BC466" s="11" t="s">
        <v>3072</v>
      </c>
      <c r="BD466" s="7" t="s">
        <v>2902</v>
      </c>
      <c r="BE466" s="11" t="s">
        <v>2991</v>
      </c>
    </row>
    <row r="467" customFormat="false" ht="23.85" hidden="false" customHeight="false" outlineLevel="0" collapsed="false">
      <c r="A467" s="6" t="n">
        <v>467</v>
      </c>
      <c r="B467" s="7"/>
      <c r="C467" s="7" t="s">
        <v>3073</v>
      </c>
      <c r="D467" s="8" t="n">
        <v>0.74</v>
      </c>
      <c r="E467" s="7" t="s">
        <v>85</v>
      </c>
      <c r="F467" s="7" t="s">
        <v>123</v>
      </c>
      <c r="G467" s="6" t="n">
        <v>1</v>
      </c>
      <c r="H467" s="7" t="s">
        <v>2788</v>
      </c>
      <c r="I467" s="7" t="s">
        <v>271</v>
      </c>
      <c r="J467" s="7" t="s">
        <v>3074</v>
      </c>
      <c r="K467" s="7" t="s">
        <v>583</v>
      </c>
      <c r="L467" s="9"/>
      <c r="M467" s="9" t="n">
        <v>551250</v>
      </c>
      <c r="N467" s="9" t="n">
        <v>735000</v>
      </c>
      <c r="O467" s="7"/>
      <c r="P467" s="7"/>
      <c r="Q467" s="7" t="s">
        <v>155</v>
      </c>
      <c r="R467" s="7" t="s">
        <v>3075</v>
      </c>
      <c r="S467" s="7"/>
      <c r="T467" s="7"/>
      <c r="U467" s="10"/>
      <c r="V467" s="7"/>
      <c r="W467" s="7"/>
      <c r="X467" s="7" t="s">
        <v>1695</v>
      </c>
      <c r="Y467" s="12" t="b">
        <f aca="false">TRUE()</f>
        <v>1</v>
      </c>
      <c r="Z467" s="7" t="s">
        <v>2090</v>
      </c>
      <c r="AA467" s="7" t="s">
        <v>3076</v>
      </c>
      <c r="AB467" s="8"/>
      <c r="AC467" s="6"/>
      <c r="AD467" s="6"/>
      <c r="AE467" s="6"/>
      <c r="AF467" s="7" t="s">
        <v>583</v>
      </c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8"/>
      <c r="AR467" s="9" t="n">
        <f aca="false">IFERROR(VLOOKUP($X467,Lotes!$A:$E,5,FALSE())*$U467,"")</f>
        <v>0</v>
      </c>
      <c r="AS467" s="9" t="str">
        <f aca="false">IF($L467="","",$L467*2.6)</f>
        <v/>
      </c>
      <c r="AT467" s="9"/>
      <c r="AU467" s="9"/>
      <c r="AV467" s="9"/>
      <c r="AW467" s="9"/>
      <c r="AX467" s="7"/>
      <c r="AY467" s="7"/>
      <c r="AZ467" s="7" t="s">
        <v>3077</v>
      </c>
      <c r="BA467" s="7" t="s">
        <v>3078</v>
      </c>
      <c r="BB467" s="7" t="s">
        <v>3079</v>
      </c>
      <c r="BC467" s="11" t="s">
        <v>3080</v>
      </c>
      <c r="BD467" s="7" t="s">
        <v>2598</v>
      </c>
      <c r="BE467" s="11"/>
    </row>
    <row r="468" customFormat="false" ht="23.85" hidden="false" customHeight="false" outlineLevel="0" collapsed="false">
      <c r="A468" s="6" t="n">
        <v>468</v>
      </c>
      <c r="B468" s="7"/>
      <c r="C468" s="7" t="s">
        <v>3081</v>
      </c>
      <c r="D468" s="8" t="n">
        <v>0.38</v>
      </c>
      <c r="E468" s="7" t="s">
        <v>85</v>
      </c>
      <c r="F468" s="7" t="s">
        <v>123</v>
      </c>
      <c r="G468" s="6" t="n">
        <v>1</v>
      </c>
      <c r="H468" s="7" t="s">
        <v>2788</v>
      </c>
      <c r="I468" s="7" t="s">
        <v>271</v>
      </c>
      <c r="J468" s="7" t="s">
        <v>3082</v>
      </c>
      <c r="K468" s="7" t="s">
        <v>583</v>
      </c>
      <c r="L468" s="9"/>
      <c r="M468" s="9" t="n">
        <v>551250</v>
      </c>
      <c r="N468" s="9" t="n">
        <v>735000</v>
      </c>
      <c r="O468" s="7"/>
      <c r="P468" s="7"/>
      <c r="Q468" s="7" t="s">
        <v>155</v>
      </c>
      <c r="R468" s="7" t="s">
        <v>3083</v>
      </c>
      <c r="S468" s="7"/>
      <c r="T468" s="7"/>
      <c r="U468" s="10"/>
      <c r="V468" s="7"/>
      <c r="W468" s="7"/>
      <c r="X468" s="7"/>
      <c r="Y468" s="12" t="b">
        <f aca="false">FALSE()</f>
        <v>0</v>
      </c>
      <c r="Z468" s="7" t="s">
        <v>2090</v>
      </c>
      <c r="AA468" s="7" t="s">
        <v>3084</v>
      </c>
      <c r="AB468" s="8"/>
      <c r="AC468" s="6"/>
      <c r="AD468" s="6"/>
      <c r="AE468" s="6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8"/>
      <c r="AR468" s="9" t="str">
        <f aca="false">IFERROR(VLOOKUP($X468,Lotes!$A:$E,5,FALSE())*$U468,"")</f>
        <v/>
      </c>
      <c r="AS468" s="9" t="str">
        <f aca="false">IF($L468="","",$L468*2.6)</f>
        <v/>
      </c>
      <c r="AT468" s="9"/>
      <c r="AU468" s="9"/>
      <c r="AV468" s="9"/>
      <c r="AW468" s="9"/>
      <c r="AX468" s="7"/>
      <c r="AY468" s="7"/>
      <c r="AZ468" s="7" t="s">
        <v>3077</v>
      </c>
      <c r="BA468" s="7" t="s">
        <v>3085</v>
      </c>
      <c r="BB468" s="7" t="s">
        <v>3086</v>
      </c>
      <c r="BC468" s="11" t="s">
        <v>3087</v>
      </c>
      <c r="BD468" s="7" t="s">
        <v>2052</v>
      </c>
      <c r="BE468" s="11"/>
    </row>
    <row r="469" customFormat="false" ht="15" hidden="false" customHeight="false" outlineLevel="0" collapsed="false">
      <c r="A469" s="6" t="n">
        <v>469</v>
      </c>
      <c r="B469" s="7"/>
      <c r="C469" s="7" t="s">
        <v>3088</v>
      </c>
      <c r="D469" s="8" t="n">
        <v>0.37</v>
      </c>
      <c r="E469" s="7" t="s">
        <v>85</v>
      </c>
      <c r="F469" s="7" t="s">
        <v>123</v>
      </c>
      <c r="G469" s="6" t="n">
        <v>1</v>
      </c>
      <c r="H469" s="7" t="s">
        <v>2788</v>
      </c>
      <c r="I469" s="7" t="s">
        <v>271</v>
      </c>
      <c r="J469" s="7" t="s">
        <v>3089</v>
      </c>
      <c r="K469" s="7" t="s">
        <v>583</v>
      </c>
      <c r="L469" s="9"/>
      <c r="M469" s="9" t="n">
        <v>551250</v>
      </c>
      <c r="N469" s="9" t="n">
        <v>735000</v>
      </c>
      <c r="O469" s="7"/>
      <c r="P469" s="7"/>
      <c r="Q469" s="7" t="s">
        <v>155</v>
      </c>
      <c r="R469" s="7" t="s">
        <v>3090</v>
      </c>
      <c r="S469" s="7"/>
      <c r="T469" s="7"/>
      <c r="U469" s="10"/>
      <c r="V469" s="7"/>
      <c r="W469" s="7"/>
      <c r="X469" s="7"/>
      <c r="Y469" s="12" t="b">
        <f aca="false">FALSE()</f>
        <v>0</v>
      </c>
      <c r="Z469" s="7" t="s">
        <v>2090</v>
      </c>
      <c r="AA469" s="7" t="s">
        <v>3091</v>
      </c>
      <c r="AB469" s="8"/>
      <c r="AC469" s="6"/>
      <c r="AD469" s="6"/>
      <c r="AE469" s="6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8"/>
      <c r="AR469" s="9" t="str">
        <f aca="false">IFERROR(VLOOKUP($X469,Lotes!$A:$E,5,FALSE())*$U469,"")</f>
        <v/>
      </c>
      <c r="AS469" s="9" t="str">
        <f aca="false">IF($L469="","",$L469*2.6)</f>
        <v/>
      </c>
      <c r="AT469" s="9"/>
      <c r="AU469" s="9"/>
      <c r="AV469" s="9"/>
      <c r="AW469" s="9"/>
      <c r="AX469" s="7"/>
      <c r="AY469" s="7"/>
      <c r="AZ469" s="7" t="s">
        <v>3092</v>
      </c>
      <c r="BA469" s="7" t="s">
        <v>3093</v>
      </c>
      <c r="BB469" s="7" t="s">
        <v>3094</v>
      </c>
      <c r="BC469" s="11" t="s">
        <v>3095</v>
      </c>
      <c r="BD469" s="7" t="s">
        <v>2052</v>
      </c>
      <c r="BE469" s="11"/>
    </row>
    <row r="470" customFormat="false" ht="15" hidden="false" customHeight="false" outlineLevel="0" collapsed="false">
      <c r="A470" s="6" t="n">
        <v>470</v>
      </c>
      <c r="B470" s="7"/>
      <c r="C470" s="7" t="s">
        <v>3096</v>
      </c>
      <c r="D470" s="8" t="n">
        <v>0.37</v>
      </c>
      <c r="E470" s="7" t="s">
        <v>85</v>
      </c>
      <c r="F470" s="7" t="s">
        <v>123</v>
      </c>
      <c r="G470" s="6" t="n">
        <v>1</v>
      </c>
      <c r="H470" s="7" t="s">
        <v>2788</v>
      </c>
      <c r="I470" s="7" t="s">
        <v>271</v>
      </c>
      <c r="J470" s="7" t="s">
        <v>3097</v>
      </c>
      <c r="K470" s="7" t="s">
        <v>583</v>
      </c>
      <c r="L470" s="9"/>
      <c r="M470" s="9" t="n">
        <v>551250</v>
      </c>
      <c r="N470" s="9" t="n">
        <v>735000</v>
      </c>
      <c r="O470" s="7"/>
      <c r="P470" s="7"/>
      <c r="Q470" s="7" t="s">
        <v>155</v>
      </c>
      <c r="R470" s="7" t="s">
        <v>3098</v>
      </c>
      <c r="S470" s="7"/>
      <c r="T470" s="7"/>
      <c r="U470" s="10"/>
      <c r="V470" s="7"/>
      <c r="W470" s="7"/>
      <c r="X470" s="7"/>
      <c r="Y470" s="12" t="b">
        <f aca="false">FALSE()</f>
        <v>0</v>
      </c>
      <c r="Z470" s="7" t="s">
        <v>2090</v>
      </c>
      <c r="AA470" s="7" t="s">
        <v>3099</v>
      </c>
      <c r="AB470" s="8"/>
      <c r="AC470" s="6"/>
      <c r="AD470" s="6"/>
      <c r="AE470" s="6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8"/>
      <c r="AR470" s="9" t="str">
        <f aca="false">IFERROR(VLOOKUP($X470,Lotes!$A:$E,5,FALSE())*$U470,"")</f>
        <v/>
      </c>
      <c r="AS470" s="9" t="str">
        <f aca="false">IF($L470="","",$L470*2.6)</f>
        <v/>
      </c>
      <c r="AT470" s="9"/>
      <c r="AU470" s="9"/>
      <c r="AV470" s="9"/>
      <c r="AW470" s="9"/>
      <c r="AX470" s="7"/>
      <c r="AY470" s="7"/>
      <c r="AZ470" s="7" t="s">
        <v>3092</v>
      </c>
      <c r="BA470" s="7" t="s">
        <v>3100</v>
      </c>
      <c r="BB470" s="7" t="s">
        <v>3101</v>
      </c>
      <c r="BC470" s="11" t="s">
        <v>3102</v>
      </c>
      <c r="BD470" s="7" t="s">
        <v>2052</v>
      </c>
      <c r="BE470" s="11"/>
    </row>
    <row r="471" customFormat="false" ht="15" hidden="false" customHeight="false" outlineLevel="0" collapsed="false">
      <c r="A471" s="6" t="n">
        <v>471</v>
      </c>
      <c r="B471" s="7"/>
      <c r="C471" s="7" t="s">
        <v>3103</v>
      </c>
      <c r="D471" s="8" t="n">
        <v>0.74</v>
      </c>
      <c r="E471" s="7" t="s">
        <v>85</v>
      </c>
      <c r="F471" s="7" t="s">
        <v>123</v>
      </c>
      <c r="G471" s="6" t="n">
        <v>2</v>
      </c>
      <c r="H471" s="7" t="s">
        <v>2788</v>
      </c>
      <c r="I471" s="7" t="s">
        <v>271</v>
      </c>
      <c r="J471" s="7" t="s">
        <v>3104</v>
      </c>
      <c r="K471" s="7" t="s">
        <v>583</v>
      </c>
      <c r="L471" s="9" t="n">
        <v>367500</v>
      </c>
      <c r="M471" s="9" t="n">
        <v>1102500</v>
      </c>
      <c r="N471" s="9" t="n">
        <v>1470000</v>
      </c>
      <c r="O471" s="7"/>
      <c r="P471" s="7"/>
      <c r="Q471" s="7" t="s">
        <v>155</v>
      </c>
      <c r="R471" s="7" t="s">
        <v>3105</v>
      </c>
      <c r="S471" s="7"/>
      <c r="T471" s="7"/>
      <c r="U471" s="10" t="n">
        <v>0.5</v>
      </c>
      <c r="V471" s="7"/>
      <c r="W471" s="7"/>
      <c r="X471" s="7" t="s">
        <v>3106</v>
      </c>
      <c r="Y471" s="12" t="b">
        <f aca="false">TRUE()</f>
        <v>1</v>
      </c>
      <c r="Z471" s="7" t="s">
        <v>2090</v>
      </c>
      <c r="AA471" s="7" t="s">
        <v>3107</v>
      </c>
      <c r="AB471" s="8"/>
      <c r="AC471" s="6"/>
      <c r="AD471" s="6"/>
      <c r="AE471" s="6"/>
      <c r="AF471" s="7"/>
      <c r="AG471" s="7"/>
      <c r="AH471" s="7"/>
      <c r="AI471" s="7"/>
      <c r="AJ471" s="7"/>
      <c r="AK471" s="7"/>
      <c r="AL471" s="7" t="s">
        <v>3108</v>
      </c>
      <c r="AM471" s="7"/>
      <c r="AN471" s="7"/>
      <c r="AO471" s="7"/>
      <c r="AP471" s="7"/>
      <c r="AQ471" s="8"/>
      <c r="AR471" s="9" t="n">
        <f aca="false">IFERROR(VLOOKUP($X471,Lotes!$A:$E,5,FALSE())*$U471,"")</f>
        <v>367500</v>
      </c>
      <c r="AS471" s="9" t="n">
        <f aca="false">IF($L471="","",$L471*2.6)</f>
        <v>955500</v>
      </c>
      <c r="AT471" s="9"/>
      <c r="AU471" s="9"/>
      <c r="AV471" s="9"/>
      <c r="AW471" s="9"/>
      <c r="AX471" s="7"/>
      <c r="AY471" s="7"/>
      <c r="AZ471" s="7"/>
      <c r="BA471" s="7" t="s">
        <v>3109</v>
      </c>
      <c r="BB471" s="7" t="s">
        <v>3110</v>
      </c>
      <c r="BC471" s="11" t="s">
        <v>3111</v>
      </c>
      <c r="BD471" s="7" t="s">
        <v>2052</v>
      </c>
      <c r="BE471" s="11"/>
    </row>
    <row r="472" customFormat="false" ht="23.85" hidden="false" customHeight="false" outlineLevel="0" collapsed="false">
      <c r="A472" s="6" t="n">
        <v>472</v>
      </c>
      <c r="B472" s="7"/>
      <c r="C472" s="7" t="s">
        <v>3112</v>
      </c>
      <c r="D472" s="8" t="n">
        <v>0.74</v>
      </c>
      <c r="E472" s="7" t="s">
        <v>85</v>
      </c>
      <c r="F472" s="7" t="s">
        <v>123</v>
      </c>
      <c r="G472" s="6" t="n">
        <v>2</v>
      </c>
      <c r="H472" s="7" t="s">
        <v>2788</v>
      </c>
      <c r="I472" s="7" t="s">
        <v>271</v>
      </c>
      <c r="J472" s="7" t="s">
        <v>3097</v>
      </c>
      <c r="K472" s="7" t="s">
        <v>583</v>
      </c>
      <c r="L472" s="9" t="n">
        <v>367500</v>
      </c>
      <c r="M472" s="9" t="n">
        <v>1102500</v>
      </c>
      <c r="N472" s="9" t="n">
        <v>1470000</v>
      </c>
      <c r="O472" s="7"/>
      <c r="P472" s="7"/>
      <c r="Q472" s="7" t="s">
        <v>155</v>
      </c>
      <c r="R472" s="7" t="s">
        <v>3113</v>
      </c>
      <c r="S472" s="7"/>
      <c r="T472" s="7"/>
      <c r="U472" s="10" t="n">
        <v>0.5</v>
      </c>
      <c r="V472" s="7"/>
      <c r="W472" s="7"/>
      <c r="X472" s="7" t="s">
        <v>3106</v>
      </c>
      <c r="Y472" s="12" t="b">
        <f aca="false">TRUE()</f>
        <v>1</v>
      </c>
      <c r="Z472" s="7" t="s">
        <v>2090</v>
      </c>
      <c r="AA472" s="7" t="s">
        <v>3114</v>
      </c>
      <c r="AB472" s="8"/>
      <c r="AC472" s="6"/>
      <c r="AD472" s="6"/>
      <c r="AE472" s="6"/>
      <c r="AF472" s="7" t="s">
        <v>583</v>
      </c>
      <c r="AG472" s="7"/>
      <c r="AH472" s="7"/>
      <c r="AI472" s="7"/>
      <c r="AJ472" s="7"/>
      <c r="AK472" s="7"/>
      <c r="AL472" s="7" t="s">
        <v>3115</v>
      </c>
      <c r="AM472" s="7"/>
      <c r="AN472" s="7"/>
      <c r="AO472" s="7"/>
      <c r="AP472" s="7"/>
      <c r="AQ472" s="8"/>
      <c r="AR472" s="9" t="n">
        <f aca="false">IFERROR(VLOOKUP($X472,Lotes!$A:$E,5,FALSE())*$U472,"")</f>
        <v>367500</v>
      </c>
      <c r="AS472" s="9" t="n">
        <f aca="false">IF($L472="","",$L472*2.6)</f>
        <v>955500</v>
      </c>
      <c r="AT472" s="9"/>
      <c r="AU472" s="9"/>
      <c r="AV472" s="9"/>
      <c r="AW472" s="9"/>
      <c r="AX472" s="7"/>
      <c r="AY472" s="7"/>
      <c r="AZ472" s="7"/>
      <c r="BA472" s="7" t="s">
        <v>3116</v>
      </c>
      <c r="BB472" s="7" t="s">
        <v>3117</v>
      </c>
      <c r="BC472" s="11" t="s">
        <v>3118</v>
      </c>
      <c r="BD472" s="7" t="s">
        <v>2598</v>
      </c>
      <c r="BE472" s="11"/>
    </row>
    <row r="473" customFormat="false" ht="15" hidden="false" customHeight="false" outlineLevel="0" collapsed="false">
      <c r="A473" s="6" t="n">
        <v>476</v>
      </c>
      <c r="B473" s="7"/>
      <c r="C473" s="7" t="s">
        <v>3119</v>
      </c>
      <c r="D473" s="8" t="n">
        <v>48.4</v>
      </c>
      <c r="E473" s="7"/>
      <c r="F473" s="7" t="s">
        <v>148</v>
      </c>
      <c r="G473" s="6" t="n">
        <v>40</v>
      </c>
      <c r="H473" s="7"/>
      <c r="I473" s="7"/>
      <c r="J473" s="7"/>
      <c r="K473" s="7" t="s">
        <v>2926</v>
      </c>
      <c r="L473" s="9" t="n">
        <v>500000</v>
      </c>
      <c r="M473" s="9"/>
      <c r="N473" s="9"/>
      <c r="O473" s="7"/>
      <c r="P473" s="7"/>
      <c r="Q473" s="7" t="s">
        <v>155</v>
      </c>
      <c r="R473" s="7" t="s">
        <v>3120</v>
      </c>
      <c r="S473" s="7"/>
      <c r="T473" s="7"/>
      <c r="U473" s="10" t="n">
        <v>0</v>
      </c>
      <c r="V473" s="7"/>
      <c r="W473" s="7"/>
      <c r="X473" s="7" t="s">
        <v>3121</v>
      </c>
      <c r="Y473" s="12" t="b">
        <f aca="false">FALSE()</f>
        <v>0</v>
      </c>
      <c r="Z473" s="7"/>
      <c r="AA473" s="7"/>
      <c r="AB473" s="8"/>
      <c r="AC473" s="6"/>
      <c r="AD473" s="6"/>
      <c r="AE473" s="6"/>
      <c r="AF473" s="7" t="s">
        <v>1961</v>
      </c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8"/>
      <c r="AR473" s="9" t="n">
        <f aca="false">IFERROR(VLOOKUP($X473,Lotes!$A:$E,5,FALSE())*$U473,"")</f>
        <v>0</v>
      </c>
      <c r="AS473" s="9" t="n">
        <f aca="false">IF($L473="","",$L473*2.6)</f>
        <v>1300000</v>
      </c>
      <c r="AT473" s="9"/>
      <c r="AU473" s="9"/>
      <c r="AV473" s="9"/>
      <c r="AW473" s="9"/>
      <c r="AX473" s="7"/>
      <c r="AY473" s="7"/>
      <c r="AZ473" s="7"/>
      <c r="BA473" s="7" t="s">
        <v>3122</v>
      </c>
      <c r="BB473" s="7" t="s">
        <v>3123</v>
      </c>
      <c r="BC473" s="11" t="s">
        <v>3124</v>
      </c>
      <c r="BD473" s="7" t="s">
        <v>2598</v>
      </c>
      <c r="BE473" s="11"/>
    </row>
    <row r="474" customFormat="false" ht="15" hidden="false" customHeight="false" outlineLevel="0" collapsed="false">
      <c r="A474" s="6" t="n">
        <v>477</v>
      </c>
      <c r="B474" s="7"/>
      <c r="C474" s="7" t="s">
        <v>3125</v>
      </c>
      <c r="D474" s="8"/>
      <c r="E474" s="7"/>
      <c r="F474" s="7"/>
      <c r="G474" s="6" t="n">
        <v>2</v>
      </c>
      <c r="H474" s="7"/>
      <c r="I474" s="7"/>
      <c r="J474" s="7"/>
      <c r="K474" s="7" t="s">
        <v>2926</v>
      </c>
      <c r="L474" s="9" t="n">
        <v>22400</v>
      </c>
      <c r="M474" s="9"/>
      <c r="N474" s="9"/>
      <c r="O474" s="7"/>
      <c r="P474" s="7"/>
      <c r="Q474" s="7" t="s">
        <v>155</v>
      </c>
      <c r="R474" s="7" t="s">
        <v>3126</v>
      </c>
      <c r="S474" s="7"/>
      <c r="T474" s="7"/>
      <c r="U474" s="10" t="n">
        <v>0</v>
      </c>
      <c r="V474" s="7"/>
      <c r="W474" s="7"/>
      <c r="X474" s="7" t="s">
        <v>2951</v>
      </c>
      <c r="Y474" s="12" t="b">
        <f aca="false">FALSE()</f>
        <v>0</v>
      </c>
      <c r="Z474" s="7"/>
      <c r="AA474" s="7"/>
      <c r="AB474" s="8"/>
      <c r="AC474" s="6"/>
      <c r="AD474" s="6"/>
      <c r="AE474" s="6"/>
      <c r="AF474" s="7"/>
      <c r="AG474" s="7"/>
      <c r="AH474" s="7"/>
      <c r="AI474" s="7"/>
      <c r="AJ474" s="7"/>
      <c r="AK474" s="7"/>
      <c r="AL474" s="7" t="s">
        <v>3127</v>
      </c>
      <c r="AM474" s="7"/>
      <c r="AN474" s="7"/>
      <c r="AO474" s="7"/>
      <c r="AP474" s="7"/>
      <c r="AQ474" s="8" t="n">
        <v>0.87</v>
      </c>
      <c r="AR474" s="9" t="n">
        <f aca="false">IFERROR(VLOOKUP($X474,Lotes!$A:$E,5,FALSE())*$U474,"")</f>
        <v>0</v>
      </c>
      <c r="AS474" s="9" t="n">
        <f aca="false">IF($L474="","",$L474*2.6)</f>
        <v>58240</v>
      </c>
      <c r="AT474" s="9"/>
      <c r="AU474" s="9"/>
      <c r="AV474" s="9"/>
      <c r="AW474" s="9"/>
      <c r="AX474" s="7"/>
      <c r="AY474" s="7"/>
      <c r="AZ474" s="7"/>
      <c r="BA474" s="7" t="s">
        <v>3128</v>
      </c>
      <c r="BB474" s="7" t="s">
        <v>3129</v>
      </c>
      <c r="BC474" s="11" t="s">
        <v>3130</v>
      </c>
      <c r="BD474" s="7" t="s">
        <v>2598</v>
      </c>
      <c r="BE474" s="11"/>
    </row>
    <row r="475" customFormat="false" ht="15" hidden="false" customHeight="false" outlineLevel="0" collapsed="false">
      <c r="A475" s="6" t="n">
        <v>478</v>
      </c>
      <c r="B475" s="7"/>
      <c r="C475" s="7" t="s">
        <v>3131</v>
      </c>
      <c r="D475" s="8" t="n">
        <v>0.45</v>
      </c>
      <c r="E475" s="7" t="s">
        <v>3132</v>
      </c>
      <c r="F475" s="7" t="s">
        <v>311</v>
      </c>
      <c r="G475" s="6" t="n">
        <v>1</v>
      </c>
      <c r="H475" s="7"/>
      <c r="I475" s="7" t="s">
        <v>271</v>
      </c>
      <c r="J475" s="7" t="s">
        <v>3133</v>
      </c>
      <c r="K475" s="7" t="s">
        <v>2926</v>
      </c>
      <c r="L475" s="9" t="n">
        <v>87400</v>
      </c>
      <c r="M475" s="9"/>
      <c r="N475" s="9"/>
      <c r="O475" s="7"/>
      <c r="P475" s="7"/>
      <c r="Q475" s="7" t="s">
        <v>155</v>
      </c>
      <c r="R475" s="7" t="s">
        <v>3134</v>
      </c>
      <c r="S475" s="7"/>
      <c r="T475" s="7"/>
      <c r="U475" s="10" t="n">
        <v>0</v>
      </c>
      <c r="V475" s="7"/>
      <c r="W475" s="7"/>
      <c r="X475" s="7" t="s">
        <v>3135</v>
      </c>
      <c r="Y475" s="12" t="b">
        <f aca="false">FALSE()</f>
        <v>0</v>
      </c>
      <c r="Z475" s="7"/>
      <c r="AA475" s="7"/>
      <c r="AB475" s="8"/>
      <c r="AC475" s="6"/>
      <c r="AD475" s="6"/>
      <c r="AE475" s="6"/>
      <c r="AF475" s="7" t="s">
        <v>583</v>
      </c>
      <c r="AG475" s="7"/>
      <c r="AH475" s="7"/>
      <c r="AI475" s="7"/>
      <c r="AJ475" s="7"/>
      <c r="AK475" s="7"/>
      <c r="AL475" s="7" t="s">
        <v>3136</v>
      </c>
      <c r="AM475" s="7"/>
      <c r="AN475" s="7"/>
      <c r="AO475" s="7"/>
      <c r="AP475" s="7"/>
      <c r="AQ475" s="8" t="n">
        <v>1.89</v>
      </c>
      <c r="AR475" s="9" t="n">
        <f aca="false">IFERROR(VLOOKUP($X475,Lotes!$A:$E,5,FALSE())*$U475,"")</f>
        <v>0</v>
      </c>
      <c r="AS475" s="9" t="n">
        <f aca="false">IF($L475="","",$L475*2.6)</f>
        <v>227240</v>
      </c>
      <c r="AT475" s="9"/>
      <c r="AU475" s="9"/>
      <c r="AV475" s="9"/>
      <c r="AW475" s="9"/>
      <c r="AX475" s="7"/>
      <c r="AY475" s="7"/>
      <c r="AZ475" s="7"/>
      <c r="BA475" s="7" t="s">
        <v>3137</v>
      </c>
      <c r="BB475" s="7" t="s">
        <v>3138</v>
      </c>
      <c r="BC475" s="11" t="s">
        <v>3139</v>
      </c>
      <c r="BD475" s="7" t="s">
        <v>2598</v>
      </c>
      <c r="BE475" s="11"/>
    </row>
    <row r="476" customFormat="false" ht="15" hidden="false" customHeight="false" outlineLevel="0" collapsed="false">
      <c r="A476" s="6" t="n">
        <v>481</v>
      </c>
      <c r="B476" s="7"/>
      <c r="C476" s="7" t="s">
        <v>3140</v>
      </c>
      <c r="D476" s="8"/>
      <c r="E476" s="7"/>
      <c r="F476" s="7"/>
      <c r="G476" s="6" t="n">
        <v>8</v>
      </c>
      <c r="H476" s="7"/>
      <c r="I476" s="7"/>
      <c r="J476" s="7"/>
      <c r="K476" s="7" t="s">
        <v>2926</v>
      </c>
      <c r="L476" s="9" t="n">
        <v>140000</v>
      </c>
      <c r="M476" s="9"/>
      <c r="N476" s="9"/>
      <c r="O476" s="7"/>
      <c r="P476" s="7"/>
      <c r="Q476" s="7" t="s">
        <v>155</v>
      </c>
      <c r="R476" s="7" t="s">
        <v>3141</v>
      </c>
      <c r="S476" s="7"/>
      <c r="T476" s="7"/>
      <c r="U476" s="10" t="n">
        <v>0</v>
      </c>
      <c r="V476" s="7"/>
      <c r="W476" s="7"/>
      <c r="X476" s="7" t="s">
        <v>2951</v>
      </c>
      <c r="Y476" s="12" t="b">
        <f aca="false">FALSE()</f>
        <v>0</v>
      </c>
      <c r="Z476" s="7"/>
      <c r="AA476" s="7"/>
      <c r="AB476" s="8"/>
      <c r="AC476" s="6"/>
      <c r="AD476" s="6"/>
      <c r="AE476" s="6"/>
      <c r="AF476" s="7"/>
      <c r="AG476" s="7"/>
      <c r="AH476" s="7"/>
      <c r="AI476" s="7"/>
      <c r="AJ476" s="7"/>
      <c r="AK476" s="7"/>
      <c r="AL476" s="7" t="s">
        <v>3142</v>
      </c>
      <c r="AM476" s="7"/>
      <c r="AN476" s="7"/>
      <c r="AO476" s="7"/>
      <c r="AP476" s="7"/>
      <c r="AQ476" s="8" t="n">
        <v>2.41</v>
      </c>
      <c r="AR476" s="9" t="n">
        <f aca="false">IFERROR(VLOOKUP($X476,Lotes!$A:$E,5,FALSE())*$U476,"")</f>
        <v>0</v>
      </c>
      <c r="AS476" s="9" t="n">
        <f aca="false">IF($L476="","",$L476*2.6)</f>
        <v>364000</v>
      </c>
      <c r="AT476" s="9"/>
      <c r="AU476" s="9"/>
      <c r="AV476" s="9"/>
      <c r="AW476" s="9"/>
      <c r="AX476" s="7"/>
      <c r="AY476" s="7"/>
      <c r="AZ476" s="7"/>
      <c r="BA476" s="7" t="s">
        <v>3143</v>
      </c>
      <c r="BB476" s="7" t="s">
        <v>3144</v>
      </c>
      <c r="BC476" s="11" t="s">
        <v>3145</v>
      </c>
      <c r="BD476" s="7" t="s">
        <v>2598</v>
      </c>
      <c r="BE476" s="11"/>
    </row>
    <row r="477" customFormat="false" ht="15" hidden="false" customHeight="false" outlineLevel="0" collapsed="false">
      <c r="A477" s="6" t="n">
        <v>482</v>
      </c>
      <c r="B477" s="7"/>
      <c r="C477" s="7" t="s">
        <v>3146</v>
      </c>
      <c r="D477" s="8" t="n">
        <v>0.92</v>
      </c>
      <c r="E477" s="7"/>
      <c r="F477" s="7" t="s">
        <v>3147</v>
      </c>
      <c r="G477" s="6" t="n">
        <v>1</v>
      </c>
      <c r="H477" s="7"/>
      <c r="I477" s="7"/>
      <c r="J477" s="7"/>
      <c r="K477" s="7" t="s">
        <v>88</v>
      </c>
      <c r="L477" s="9" t="n">
        <v>0</v>
      </c>
      <c r="M477" s="9"/>
      <c r="N477" s="9"/>
      <c r="O477" s="7"/>
      <c r="P477" s="7"/>
      <c r="Q477" s="7" t="s">
        <v>155</v>
      </c>
      <c r="R477" s="7" t="s">
        <v>3148</v>
      </c>
      <c r="S477" s="7"/>
      <c r="T477" s="7"/>
      <c r="U477" s="10" t="n">
        <v>0</v>
      </c>
      <c r="V477" s="7"/>
      <c r="W477" s="7"/>
      <c r="X477" s="7" t="s">
        <v>3149</v>
      </c>
      <c r="Y477" s="12" t="b">
        <f aca="false">FALSE()</f>
        <v>0</v>
      </c>
      <c r="Z477" s="7"/>
      <c r="AA477" s="7"/>
      <c r="AB477" s="8"/>
      <c r="AC477" s="6"/>
      <c r="AD477" s="6"/>
      <c r="AE477" s="6"/>
      <c r="AF477" s="7" t="s">
        <v>583</v>
      </c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8"/>
      <c r="AR477" s="9" t="n">
        <f aca="false">IFERROR(VLOOKUP($X477,Lotes!$A:$E,5,FALSE())*$U477,"")</f>
        <v>0</v>
      </c>
      <c r="AS477" s="9" t="n">
        <f aca="false">IF($L477="","",$L477*2.6)</f>
        <v>0</v>
      </c>
      <c r="AT477" s="9"/>
      <c r="AU477" s="9"/>
      <c r="AV477" s="9"/>
      <c r="AW477" s="9"/>
      <c r="AX477" s="7"/>
      <c r="AY477" s="7"/>
      <c r="AZ477" s="7"/>
      <c r="BA477" s="7" t="s">
        <v>3150</v>
      </c>
      <c r="BB477" s="7" t="s">
        <v>3151</v>
      </c>
      <c r="BC477" s="11" t="s">
        <v>3152</v>
      </c>
      <c r="BD477" s="7" t="s">
        <v>2598</v>
      </c>
      <c r="BE477" s="11"/>
    </row>
    <row r="478" customFormat="false" ht="15" hidden="false" customHeight="false" outlineLevel="0" collapsed="false">
      <c r="A478" s="6" t="n">
        <v>483</v>
      </c>
      <c r="B478" s="7"/>
      <c r="C478" s="7" t="s">
        <v>3153</v>
      </c>
      <c r="D478" s="8" t="n">
        <v>0.89</v>
      </c>
      <c r="E478" s="7"/>
      <c r="F478" s="7" t="s">
        <v>3147</v>
      </c>
      <c r="G478" s="6" t="n">
        <v>1</v>
      </c>
      <c r="H478" s="7"/>
      <c r="I478" s="7"/>
      <c r="J478" s="7"/>
      <c r="K478" s="7" t="s">
        <v>88</v>
      </c>
      <c r="L478" s="9" t="n">
        <v>0</v>
      </c>
      <c r="M478" s="9"/>
      <c r="N478" s="9"/>
      <c r="O478" s="7"/>
      <c r="P478" s="7"/>
      <c r="Q478" s="7" t="s">
        <v>155</v>
      </c>
      <c r="R478" s="7" t="s">
        <v>3154</v>
      </c>
      <c r="S478" s="7"/>
      <c r="T478" s="7"/>
      <c r="U478" s="10" t="n">
        <v>0</v>
      </c>
      <c r="V478" s="7"/>
      <c r="W478" s="7"/>
      <c r="X478" s="7" t="s">
        <v>3149</v>
      </c>
      <c r="Y478" s="12" t="b">
        <f aca="false">FALSE()</f>
        <v>0</v>
      </c>
      <c r="Z478" s="7"/>
      <c r="AA478" s="7"/>
      <c r="AB478" s="8"/>
      <c r="AC478" s="6"/>
      <c r="AD478" s="6"/>
      <c r="AE478" s="6"/>
      <c r="AF478" s="7" t="s">
        <v>583</v>
      </c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8"/>
      <c r="AR478" s="9" t="n">
        <f aca="false">IFERROR(VLOOKUP($X478,Lotes!$A:$E,5,FALSE())*$U478,"")</f>
        <v>0</v>
      </c>
      <c r="AS478" s="9" t="n">
        <f aca="false">IF($L478="","",$L478*2.6)</f>
        <v>0</v>
      </c>
      <c r="AT478" s="9"/>
      <c r="AU478" s="9"/>
      <c r="AV478" s="9"/>
      <c r="AW478" s="9"/>
      <c r="AX478" s="7"/>
      <c r="AY478" s="7"/>
      <c r="AZ478" s="7"/>
      <c r="BA478" s="7" t="s">
        <v>3155</v>
      </c>
      <c r="BB478" s="7" t="s">
        <v>3156</v>
      </c>
      <c r="BC478" s="11" t="s">
        <v>3157</v>
      </c>
      <c r="BD478" s="7" t="s">
        <v>2598</v>
      </c>
      <c r="BE478" s="11"/>
    </row>
    <row r="479" customFormat="false" ht="15" hidden="false" customHeight="false" outlineLevel="0" collapsed="false">
      <c r="A479" s="6" t="n">
        <v>484</v>
      </c>
      <c r="B479" s="7"/>
      <c r="C479" s="7" t="s">
        <v>3158</v>
      </c>
      <c r="D479" s="8" t="n">
        <v>4.44</v>
      </c>
      <c r="E479" s="7"/>
      <c r="F479" s="7" t="s">
        <v>2003</v>
      </c>
      <c r="G479" s="6" t="n">
        <v>1</v>
      </c>
      <c r="H479" s="7"/>
      <c r="I479" s="7"/>
      <c r="J479" s="7"/>
      <c r="K479" s="7" t="s">
        <v>88</v>
      </c>
      <c r="L479" s="9" t="n">
        <v>0</v>
      </c>
      <c r="M479" s="9"/>
      <c r="N479" s="9"/>
      <c r="O479" s="7"/>
      <c r="P479" s="7"/>
      <c r="Q479" s="7" t="s">
        <v>155</v>
      </c>
      <c r="R479" s="7" t="s">
        <v>3159</v>
      </c>
      <c r="S479" s="7"/>
      <c r="T479" s="7"/>
      <c r="U479" s="10" t="n">
        <v>0</v>
      </c>
      <c r="V479" s="7"/>
      <c r="W479" s="7"/>
      <c r="X479" s="7" t="s">
        <v>3149</v>
      </c>
      <c r="Y479" s="12" t="b">
        <f aca="false">FALSE()</f>
        <v>0</v>
      </c>
      <c r="Z479" s="7"/>
      <c r="AA479" s="7"/>
      <c r="AB479" s="8"/>
      <c r="AC479" s="6"/>
      <c r="AD479" s="6"/>
      <c r="AE479" s="6"/>
      <c r="AF479" s="7" t="s">
        <v>583</v>
      </c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8"/>
      <c r="AR479" s="9" t="n">
        <f aca="false">IFERROR(VLOOKUP($X479,Lotes!$A:$E,5,FALSE())*$U479,"")</f>
        <v>0</v>
      </c>
      <c r="AS479" s="9" t="n">
        <f aca="false">IF($L479="","",$L479*2.6)</f>
        <v>0</v>
      </c>
      <c r="AT479" s="9"/>
      <c r="AU479" s="9"/>
      <c r="AV479" s="9"/>
      <c r="AW479" s="9"/>
      <c r="AX479" s="7"/>
      <c r="AY479" s="7"/>
      <c r="AZ479" s="7"/>
      <c r="BA479" s="7" t="s">
        <v>3160</v>
      </c>
      <c r="BB479" s="7" t="s">
        <v>3161</v>
      </c>
      <c r="BC479" s="11" t="s">
        <v>3162</v>
      </c>
      <c r="BD479" s="7" t="s">
        <v>2598</v>
      </c>
      <c r="BE479" s="11"/>
    </row>
    <row r="480" customFormat="false" ht="15" hidden="false" customHeight="false" outlineLevel="0" collapsed="false">
      <c r="A480" s="6" t="n">
        <v>485</v>
      </c>
      <c r="B480" s="7"/>
      <c r="C480" s="7" t="s">
        <v>200</v>
      </c>
      <c r="D480" s="8"/>
      <c r="E480" s="7"/>
      <c r="F480" s="7"/>
      <c r="G480" s="6" t="n">
        <v>1</v>
      </c>
      <c r="H480" s="7"/>
      <c r="I480" s="7"/>
      <c r="J480" s="7"/>
      <c r="K480" s="7" t="s">
        <v>88</v>
      </c>
      <c r="L480" s="9" t="n">
        <v>419946</v>
      </c>
      <c r="M480" s="9"/>
      <c r="N480" s="9"/>
      <c r="O480" s="7"/>
      <c r="P480" s="7"/>
      <c r="Q480" s="7"/>
      <c r="R480" s="7" t="s">
        <v>3163</v>
      </c>
      <c r="S480" s="7"/>
      <c r="T480" s="7"/>
      <c r="U480" s="10"/>
      <c r="V480" s="7"/>
      <c r="W480" s="7"/>
      <c r="X480" s="7" t="s">
        <v>1978</v>
      </c>
      <c r="Y480" s="7"/>
      <c r="Z480" s="7"/>
      <c r="AA480" s="7"/>
      <c r="AB480" s="8"/>
      <c r="AC480" s="6"/>
      <c r="AD480" s="6"/>
      <c r="AE480" s="6"/>
      <c r="AF480" s="7" t="s">
        <v>583</v>
      </c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8"/>
      <c r="AR480" s="9" t="n">
        <f aca="false">IFERROR(VLOOKUP($X480,Lotes!$A:$E,5,FALSE())*$U480,"")</f>
        <v>0</v>
      </c>
      <c r="AS480" s="9" t="n">
        <f aca="false">IF($L480="","",$L480*2.6)</f>
        <v>1091859.6</v>
      </c>
      <c r="AT480" s="9" t="n">
        <v>2952864.034</v>
      </c>
      <c r="AU480" s="9"/>
      <c r="AV480" s="9"/>
      <c r="AW480" s="9"/>
      <c r="AX480" s="7"/>
      <c r="AY480" s="7"/>
      <c r="AZ480" s="7"/>
      <c r="BA480" s="7" t="s">
        <v>3164</v>
      </c>
      <c r="BB480" s="7" t="s">
        <v>3165</v>
      </c>
      <c r="BC480" s="11" t="s">
        <v>3166</v>
      </c>
      <c r="BD480" s="7" t="s">
        <v>3167</v>
      </c>
      <c r="BE480" s="11"/>
    </row>
    <row r="481" customFormat="false" ht="15" hidden="false" customHeight="false" outlineLevel="0" collapsed="false">
      <c r="A481" s="6" t="n">
        <v>486</v>
      </c>
      <c r="B481" s="7"/>
      <c r="C481" s="7" t="s">
        <v>200</v>
      </c>
      <c r="D481" s="8"/>
      <c r="E481" s="7" t="s">
        <v>2066</v>
      </c>
      <c r="F481" s="7"/>
      <c r="G481" s="6" t="n">
        <v>1</v>
      </c>
      <c r="H481" s="7"/>
      <c r="I481" s="7"/>
      <c r="J481" s="7"/>
      <c r="K481" s="7" t="s">
        <v>88</v>
      </c>
      <c r="L481" s="9" t="n">
        <v>884097</v>
      </c>
      <c r="M481" s="9"/>
      <c r="N481" s="9"/>
      <c r="O481" s="7"/>
      <c r="P481" s="7"/>
      <c r="Q481" s="7"/>
      <c r="R481" s="7" t="s">
        <v>3168</v>
      </c>
      <c r="S481" s="7"/>
      <c r="T481" s="7"/>
      <c r="U481" s="10"/>
      <c r="V481" s="7"/>
      <c r="W481" s="7"/>
      <c r="X481" s="7" t="s">
        <v>1978</v>
      </c>
      <c r="Y481" s="7"/>
      <c r="Z481" s="7"/>
      <c r="AA481" s="7"/>
      <c r="AB481" s="8"/>
      <c r="AC481" s="6"/>
      <c r="AD481" s="6"/>
      <c r="AE481" s="6"/>
      <c r="AF481" s="7" t="s">
        <v>583</v>
      </c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8"/>
      <c r="AR481" s="9" t="n">
        <f aca="false">IFERROR(VLOOKUP($X481,Lotes!$A:$E,5,FALSE())*$U481,"")</f>
        <v>0</v>
      </c>
      <c r="AS481" s="9" t="n">
        <f aca="false">IF($L481="","",$L481*2.6)</f>
        <v>2298652.2</v>
      </c>
      <c r="AT481" s="9" t="n">
        <v>3615936.891</v>
      </c>
      <c r="AU481" s="9"/>
      <c r="AV481" s="9"/>
      <c r="AW481" s="9"/>
      <c r="AX481" s="7"/>
      <c r="AY481" s="7"/>
      <c r="AZ481" s="7"/>
      <c r="BA481" s="7" t="s">
        <v>3169</v>
      </c>
      <c r="BB481" s="7" t="s">
        <v>3170</v>
      </c>
      <c r="BC481" s="11" t="s">
        <v>3171</v>
      </c>
      <c r="BD481" s="7" t="s">
        <v>3167</v>
      </c>
      <c r="BE481" s="11"/>
    </row>
    <row r="482" customFormat="false" ht="15" hidden="false" customHeight="false" outlineLevel="0" collapsed="false">
      <c r="A482" s="6" t="n">
        <v>487</v>
      </c>
      <c r="B482" s="7"/>
      <c r="C482" s="7" t="s">
        <v>124</v>
      </c>
      <c r="D482" s="8"/>
      <c r="E482" s="7" t="s">
        <v>2066</v>
      </c>
      <c r="F482" s="7"/>
      <c r="G482" s="6" t="n">
        <v>1</v>
      </c>
      <c r="H482" s="7"/>
      <c r="I482" s="7"/>
      <c r="J482" s="7"/>
      <c r="K482" s="7" t="s">
        <v>88</v>
      </c>
      <c r="L482" s="9" t="n">
        <v>790162</v>
      </c>
      <c r="M482" s="9"/>
      <c r="N482" s="9"/>
      <c r="O482" s="7"/>
      <c r="P482" s="7"/>
      <c r="Q482" s="7"/>
      <c r="R482" s="7" t="s">
        <v>3172</v>
      </c>
      <c r="S482" s="7"/>
      <c r="T482" s="7"/>
      <c r="U482" s="10"/>
      <c r="V482" s="7"/>
      <c r="W482" s="7"/>
      <c r="X482" s="7" t="s">
        <v>1978</v>
      </c>
      <c r="Y482" s="7"/>
      <c r="Z482" s="7"/>
      <c r="AA482" s="7"/>
      <c r="AB482" s="8"/>
      <c r="AC482" s="6"/>
      <c r="AD482" s="6"/>
      <c r="AE482" s="6"/>
      <c r="AF482" s="7" t="s">
        <v>583</v>
      </c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8"/>
      <c r="AR482" s="9" t="n">
        <f aca="false">IFERROR(VLOOKUP($X482,Lotes!$A:$E,5,FALSE())*$U482,"")</f>
        <v>0</v>
      </c>
      <c r="AS482" s="9" t="n">
        <f aca="false">IF($L482="","",$L482*2.6)</f>
        <v>2054421.2</v>
      </c>
      <c r="AT482" s="9" t="n">
        <v>3481744.034</v>
      </c>
      <c r="AU482" s="9"/>
      <c r="AV482" s="9"/>
      <c r="AW482" s="9"/>
      <c r="AX482" s="7"/>
      <c r="AY482" s="7"/>
      <c r="AZ482" s="7"/>
      <c r="BA482" s="7" t="s">
        <v>3173</v>
      </c>
      <c r="BB482" s="7" t="s">
        <v>3174</v>
      </c>
      <c r="BC482" s="11" t="s">
        <v>3175</v>
      </c>
      <c r="BD482" s="7" t="s">
        <v>3167</v>
      </c>
      <c r="BE482" s="11"/>
    </row>
    <row r="483" customFormat="false" ht="15" hidden="false" customHeight="false" outlineLevel="0" collapsed="false">
      <c r="A483" s="6" t="n">
        <v>490</v>
      </c>
      <c r="B483" s="7"/>
      <c r="C483" s="7" t="s">
        <v>3176</v>
      </c>
      <c r="D483" s="8"/>
      <c r="E483" s="7" t="s">
        <v>2066</v>
      </c>
      <c r="F483" s="7"/>
      <c r="G483" s="6" t="n">
        <v>1</v>
      </c>
      <c r="H483" s="7"/>
      <c r="I483" s="7"/>
      <c r="J483" s="7"/>
      <c r="K483" s="7" t="s">
        <v>88</v>
      </c>
      <c r="L483" s="9" t="n">
        <v>591240</v>
      </c>
      <c r="M483" s="9"/>
      <c r="N483" s="9"/>
      <c r="O483" s="7"/>
      <c r="P483" s="7"/>
      <c r="Q483" s="7"/>
      <c r="R483" s="7" t="s">
        <v>3177</v>
      </c>
      <c r="S483" s="7"/>
      <c r="T483" s="7"/>
      <c r="U483" s="10"/>
      <c r="V483" s="7"/>
      <c r="W483" s="7"/>
      <c r="X483" s="7" t="s">
        <v>1978</v>
      </c>
      <c r="Y483" s="7"/>
      <c r="Z483" s="7"/>
      <c r="AA483" s="7"/>
      <c r="AB483" s="8"/>
      <c r="AC483" s="6"/>
      <c r="AD483" s="6"/>
      <c r="AE483" s="6"/>
      <c r="AF483" s="7" t="s">
        <v>583</v>
      </c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8"/>
      <c r="AR483" s="9" t="n">
        <f aca="false">IFERROR(VLOOKUP($X483,Lotes!$A:$E,5,FALSE())*$U483,"")</f>
        <v>0</v>
      </c>
      <c r="AS483" s="9" t="n">
        <f aca="false">IF($L483="","",$L483*2.6)</f>
        <v>1537224</v>
      </c>
      <c r="AT483" s="9" t="n">
        <v>3197569.748</v>
      </c>
      <c r="AU483" s="9"/>
      <c r="AV483" s="9"/>
      <c r="AW483" s="9"/>
      <c r="AX483" s="7"/>
      <c r="AY483" s="7"/>
      <c r="AZ483" s="7"/>
      <c r="BA483" s="7" t="s">
        <v>3178</v>
      </c>
      <c r="BB483" s="7" t="s">
        <v>3179</v>
      </c>
      <c r="BC483" s="11" t="s">
        <v>3180</v>
      </c>
      <c r="BD483" s="7" t="s">
        <v>3167</v>
      </c>
      <c r="BE483" s="11"/>
    </row>
    <row r="484" customFormat="false" ht="15" hidden="false" customHeight="false" outlineLevel="0" collapsed="false">
      <c r="A484" s="6" t="n">
        <v>491</v>
      </c>
      <c r="B484" s="7"/>
      <c r="C484" s="7" t="s">
        <v>3176</v>
      </c>
      <c r="D484" s="8"/>
      <c r="E484" s="7"/>
      <c r="F484" s="7"/>
      <c r="G484" s="6" t="n">
        <v>1</v>
      </c>
      <c r="H484" s="7"/>
      <c r="I484" s="7"/>
      <c r="J484" s="7"/>
      <c r="K484" s="7" t="s">
        <v>88</v>
      </c>
      <c r="L484" s="9" t="n">
        <v>629919</v>
      </c>
      <c r="M484" s="9"/>
      <c r="N484" s="9"/>
      <c r="O484" s="7"/>
      <c r="P484" s="7"/>
      <c r="Q484" s="7"/>
      <c r="R484" s="7" t="s">
        <v>3181</v>
      </c>
      <c r="S484" s="7"/>
      <c r="T484" s="7"/>
      <c r="U484" s="10"/>
      <c r="V484" s="7"/>
      <c r="W484" s="7"/>
      <c r="X484" s="7" t="s">
        <v>1978</v>
      </c>
      <c r="Y484" s="7"/>
      <c r="Z484" s="7"/>
      <c r="AA484" s="7"/>
      <c r="AB484" s="8"/>
      <c r="AC484" s="6"/>
      <c r="AD484" s="6"/>
      <c r="AE484" s="6"/>
      <c r="AF484" s="7" t="s">
        <v>583</v>
      </c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8"/>
      <c r="AR484" s="9" t="n">
        <f aca="false">IFERROR(VLOOKUP($X484,Lotes!$A:$E,5,FALSE())*$U484,"")</f>
        <v>0</v>
      </c>
      <c r="AS484" s="9" t="n">
        <f aca="false">IF($L484="","",$L484*2.6)</f>
        <v>1637789.4</v>
      </c>
      <c r="AT484" s="9" t="n">
        <v>3252825.462</v>
      </c>
      <c r="AU484" s="9"/>
      <c r="AV484" s="9"/>
      <c r="AW484" s="9"/>
      <c r="AX484" s="7"/>
      <c r="AY484" s="7"/>
      <c r="AZ484" s="7"/>
      <c r="BA484" s="7" t="s">
        <v>3182</v>
      </c>
      <c r="BB484" s="7" t="s">
        <v>3183</v>
      </c>
      <c r="BC484" s="11" t="s">
        <v>3184</v>
      </c>
      <c r="BD484" s="7" t="s">
        <v>3167</v>
      </c>
      <c r="BE484" s="11"/>
    </row>
    <row r="485" customFormat="false" ht="15" hidden="false" customHeight="false" outlineLevel="0" collapsed="false">
      <c r="A485" s="6" t="n">
        <v>492</v>
      </c>
      <c r="B485" s="7"/>
      <c r="C485" s="7" t="s">
        <v>200</v>
      </c>
      <c r="D485" s="8"/>
      <c r="E485" s="7"/>
      <c r="F485" s="7"/>
      <c r="G485" s="6" t="n">
        <v>1</v>
      </c>
      <c r="H485" s="7"/>
      <c r="I485" s="7"/>
      <c r="J485" s="7"/>
      <c r="K485" s="7" t="s">
        <v>88</v>
      </c>
      <c r="L485" s="9" t="n">
        <v>618868</v>
      </c>
      <c r="M485" s="9"/>
      <c r="N485" s="9"/>
      <c r="O485" s="7"/>
      <c r="P485" s="7"/>
      <c r="Q485" s="7"/>
      <c r="R485" s="7" t="s">
        <v>3185</v>
      </c>
      <c r="S485" s="7"/>
      <c r="T485" s="7"/>
      <c r="U485" s="10"/>
      <c r="V485" s="7"/>
      <c r="W485" s="7"/>
      <c r="X485" s="7" t="s">
        <v>1978</v>
      </c>
      <c r="Y485" s="7"/>
      <c r="Z485" s="7"/>
      <c r="AA485" s="7"/>
      <c r="AB485" s="8"/>
      <c r="AC485" s="6"/>
      <c r="AD485" s="6"/>
      <c r="AE485" s="6"/>
      <c r="AF485" s="7" t="s">
        <v>583</v>
      </c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8"/>
      <c r="AR485" s="9" t="n">
        <f aca="false">IFERROR(VLOOKUP($X485,Lotes!$A:$E,5,FALSE())*$U485,"")</f>
        <v>0</v>
      </c>
      <c r="AS485" s="9" t="n">
        <f aca="false">IF($L485="","",$L485*2.6)</f>
        <v>1609056.8</v>
      </c>
      <c r="AT485" s="9" t="n">
        <v>3237038.319</v>
      </c>
      <c r="AU485" s="9"/>
      <c r="AV485" s="9"/>
      <c r="AW485" s="9"/>
      <c r="AX485" s="7"/>
      <c r="AY485" s="7"/>
      <c r="AZ485" s="7"/>
      <c r="BA485" s="7" t="s">
        <v>3186</v>
      </c>
      <c r="BB485" s="7" t="s">
        <v>3187</v>
      </c>
      <c r="BC485" s="11" t="s">
        <v>3188</v>
      </c>
      <c r="BD485" s="7" t="s">
        <v>3167</v>
      </c>
      <c r="BE485" s="11"/>
    </row>
    <row r="486" customFormat="false" ht="15" hidden="false" customHeight="false" outlineLevel="0" collapsed="false">
      <c r="A486" s="6" t="n">
        <v>495</v>
      </c>
      <c r="B486" s="7"/>
      <c r="C486" s="7" t="s">
        <v>3189</v>
      </c>
      <c r="D486" s="8"/>
      <c r="E486" s="7"/>
      <c r="F486" s="7"/>
      <c r="G486" s="6" t="n">
        <v>5</v>
      </c>
      <c r="H486" s="7"/>
      <c r="I486" s="7"/>
      <c r="J486" s="7"/>
      <c r="K486" s="7" t="s">
        <v>2398</v>
      </c>
      <c r="L486" s="9" t="n">
        <v>0</v>
      </c>
      <c r="M486" s="9"/>
      <c r="N486" s="9"/>
      <c r="O486" s="7"/>
      <c r="P486" s="7"/>
      <c r="Q486" s="7" t="s">
        <v>155</v>
      </c>
      <c r="R486" s="7" t="s">
        <v>3190</v>
      </c>
      <c r="S486" s="7"/>
      <c r="T486" s="7"/>
      <c r="U486" s="10" t="n">
        <v>0</v>
      </c>
      <c r="V486" s="7"/>
      <c r="W486" s="7"/>
      <c r="X486" s="7" t="s">
        <v>3191</v>
      </c>
      <c r="Y486" s="12" t="b">
        <f aca="false">FALSE()</f>
        <v>0</v>
      </c>
      <c r="Z486" s="7"/>
      <c r="AA486" s="7"/>
      <c r="AB486" s="8"/>
      <c r="AC486" s="6"/>
      <c r="AD486" s="6"/>
      <c r="AE486" s="6"/>
      <c r="AF486" s="7" t="s">
        <v>583</v>
      </c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8"/>
      <c r="AR486" s="9" t="n">
        <f aca="false">IFERROR(VLOOKUP($X486,Lotes!$A:$E,5,FALSE())*$U486,"")</f>
        <v>0</v>
      </c>
      <c r="AS486" s="9" t="n">
        <f aca="false">IF($L486="","",$L486*2.6)</f>
        <v>0</v>
      </c>
      <c r="AT486" s="9"/>
      <c r="AU486" s="9"/>
      <c r="AV486" s="9"/>
      <c r="AW486" s="9"/>
      <c r="AX486" s="7"/>
      <c r="AY486" s="7"/>
      <c r="AZ486" s="7"/>
      <c r="BA486" s="7" t="s">
        <v>3192</v>
      </c>
      <c r="BB486" s="7" t="s">
        <v>3193</v>
      </c>
      <c r="BC486" s="11" t="s">
        <v>3194</v>
      </c>
      <c r="BD486" s="7" t="s">
        <v>2598</v>
      </c>
      <c r="BE486" s="11"/>
    </row>
    <row r="487" customFormat="false" ht="15" hidden="false" customHeight="false" outlineLevel="0" collapsed="false">
      <c r="A487" s="6" t="n">
        <v>496</v>
      </c>
      <c r="B487" s="7"/>
      <c r="C487" s="7" t="s">
        <v>681</v>
      </c>
      <c r="D487" s="8"/>
      <c r="E487" s="7"/>
      <c r="F487" s="7"/>
      <c r="G487" s="6"/>
      <c r="H487" s="7"/>
      <c r="I487" s="7"/>
      <c r="J487" s="7"/>
      <c r="K487" s="7" t="s">
        <v>371</v>
      </c>
      <c r="L487" s="9"/>
      <c r="M487" s="9"/>
      <c r="N487" s="9"/>
      <c r="O487" s="7"/>
      <c r="P487" s="7"/>
      <c r="Q487" s="7"/>
      <c r="R487" s="7" t="s">
        <v>3195</v>
      </c>
      <c r="S487" s="7"/>
      <c r="T487" s="7"/>
      <c r="U487" s="10"/>
      <c r="V487" s="7"/>
      <c r="W487" s="7"/>
      <c r="X487" s="7" t="s">
        <v>3196</v>
      </c>
      <c r="Y487" s="7"/>
      <c r="Z487" s="7"/>
      <c r="AA487" s="7"/>
      <c r="AB487" s="8"/>
      <c r="AC487" s="6"/>
      <c r="AD487" s="6"/>
      <c r="AE487" s="6"/>
      <c r="AF487" s="7" t="s">
        <v>583</v>
      </c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8"/>
      <c r="AR487" s="9" t="n">
        <f aca="false">IFERROR(VLOOKUP($X487,Lotes!$A:$E,5,FALSE())*$U487,"")</f>
        <v>0</v>
      </c>
      <c r="AS487" s="9" t="str">
        <f aca="false">IF($L487="","",$L487*2.6)</f>
        <v/>
      </c>
      <c r="AT487" s="9"/>
      <c r="AU487" s="9"/>
      <c r="AV487" s="9"/>
      <c r="AW487" s="9"/>
      <c r="AX487" s="7"/>
      <c r="AY487" s="7"/>
      <c r="AZ487" s="7"/>
      <c r="BA487" s="7" t="s">
        <v>3197</v>
      </c>
      <c r="BB487" s="7" t="s">
        <v>3198</v>
      </c>
      <c r="BC487" s="11" t="s">
        <v>3199</v>
      </c>
      <c r="BD487" s="7" t="s">
        <v>3167</v>
      </c>
      <c r="BE487" s="11"/>
    </row>
    <row r="488" customFormat="false" ht="15" hidden="false" customHeight="false" outlineLevel="0" collapsed="false">
      <c r="A488" s="6" t="n">
        <v>497</v>
      </c>
      <c r="B488" s="7"/>
      <c r="C488" s="7" t="s">
        <v>681</v>
      </c>
      <c r="D488" s="8"/>
      <c r="E488" s="7"/>
      <c r="F488" s="7" t="s">
        <v>2067</v>
      </c>
      <c r="G488" s="6" t="n">
        <v>8</v>
      </c>
      <c r="H488" s="7"/>
      <c r="I488" s="7"/>
      <c r="J488" s="7"/>
      <c r="K488" s="7" t="s">
        <v>371</v>
      </c>
      <c r="L488" s="9"/>
      <c r="M488" s="9"/>
      <c r="N488" s="9"/>
      <c r="O488" s="7"/>
      <c r="P488" s="7"/>
      <c r="Q488" s="7"/>
      <c r="R488" s="7" t="s">
        <v>3200</v>
      </c>
      <c r="S488" s="7"/>
      <c r="T488" s="7"/>
      <c r="U488" s="10"/>
      <c r="V488" s="7"/>
      <c r="W488" s="7"/>
      <c r="X488" s="7" t="s">
        <v>3196</v>
      </c>
      <c r="Y488" s="7"/>
      <c r="Z488" s="7"/>
      <c r="AA488" s="7"/>
      <c r="AB488" s="8"/>
      <c r="AC488" s="6"/>
      <c r="AD488" s="6"/>
      <c r="AE488" s="6"/>
      <c r="AF488" s="7" t="s">
        <v>583</v>
      </c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8"/>
      <c r="AR488" s="9" t="n">
        <f aca="false">IFERROR(VLOOKUP($X488,Lotes!$A:$E,5,FALSE())*$U488,"")</f>
        <v>0</v>
      </c>
      <c r="AS488" s="9" t="str">
        <f aca="false">IF($L488="","",$L488*2.6)</f>
        <v/>
      </c>
      <c r="AT488" s="9"/>
      <c r="AU488" s="9"/>
      <c r="AV488" s="9"/>
      <c r="AW488" s="9"/>
      <c r="AX488" s="7"/>
      <c r="AY488" s="7"/>
      <c r="AZ488" s="7"/>
      <c r="BA488" s="7" t="s">
        <v>3201</v>
      </c>
      <c r="BB488" s="7" t="s">
        <v>3202</v>
      </c>
      <c r="BC488" s="11" t="s">
        <v>3203</v>
      </c>
      <c r="BD488" s="7" t="s">
        <v>3167</v>
      </c>
      <c r="BE488" s="11"/>
    </row>
    <row r="489" customFormat="false" ht="15" hidden="false" customHeight="false" outlineLevel="0" collapsed="false">
      <c r="A489" s="6" t="n">
        <v>498</v>
      </c>
      <c r="B489" s="7"/>
      <c r="C489" s="7" t="s">
        <v>681</v>
      </c>
      <c r="D489" s="8"/>
      <c r="E489" s="7" t="s">
        <v>386</v>
      </c>
      <c r="F489" s="7" t="s">
        <v>2067</v>
      </c>
      <c r="G489" s="6" t="n">
        <v>2</v>
      </c>
      <c r="H489" s="7"/>
      <c r="I489" s="7" t="s">
        <v>271</v>
      </c>
      <c r="J489" s="7" t="s">
        <v>3204</v>
      </c>
      <c r="K489" s="7" t="s">
        <v>2820</v>
      </c>
      <c r="L489" s="9"/>
      <c r="M489" s="9"/>
      <c r="N489" s="9"/>
      <c r="O489" s="7"/>
      <c r="P489" s="7"/>
      <c r="Q489" s="7"/>
      <c r="R489" s="7" t="s">
        <v>3205</v>
      </c>
      <c r="S489" s="7"/>
      <c r="T489" s="7"/>
      <c r="U489" s="10"/>
      <c r="V489" s="7"/>
      <c r="W489" s="7"/>
      <c r="X489" s="7" t="s">
        <v>3196</v>
      </c>
      <c r="Y489" s="7"/>
      <c r="Z489" s="7"/>
      <c r="AA489" s="7"/>
      <c r="AB489" s="8"/>
      <c r="AC489" s="6"/>
      <c r="AD489" s="6"/>
      <c r="AE489" s="6"/>
      <c r="AF489" s="7" t="s">
        <v>583</v>
      </c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8"/>
      <c r="AR489" s="9" t="n">
        <f aca="false">IFERROR(VLOOKUP($X489,Lotes!$A:$E,5,FALSE())*$U489,"")</f>
        <v>0</v>
      </c>
      <c r="AS489" s="9" t="str">
        <f aca="false">IF($L489="","",$L489*2.6)</f>
        <v/>
      </c>
      <c r="AT489" s="9"/>
      <c r="AU489" s="9"/>
      <c r="AV489" s="9"/>
      <c r="AW489" s="9"/>
      <c r="AX489" s="7"/>
      <c r="AY489" s="7"/>
      <c r="AZ489" s="7"/>
      <c r="BA489" s="7" t="s">
        <v>3206</v>
      </c>
      <c r="BB489" s="7" t="s">
        <v>3207</v>
      </c>
      <c r="BC489" s="11" t="s">
        <v>3208</v>
      </c>
      <c r="BD489" s="7" t="s">
        <v>3167</v>
      </c>
      <c r="BE489" s="11"/>
    </row>
    <row r="490" customFormat="false" ht="15" hidden="false" customHeight="false" outlineLevel="0" collapsed="false">
      <c r="A490" s="6" t="n">
        <v>499</v>
      </c>
      <c r="B490" s="7"/>
      <c r="C490" s="7" t="s">
        <v>681</v>
      </c>
      <c r="D490" s="8"/>
      <c r="E490" s="7"/>
      <c r="F490" s="7" t="s">
        <v>3209</v>
      </c>
      <c r="G490" s="6" t="n">
        <v>8</v>
      </c>
      <c r="H490" s="7"/>
      <c r="I490" s="7"/>
      <c r="J490" s="7"/>
      <c r="K490" s="7" t="s">
        <v>371</v>
      </c>
      <c r="L490" s="9"/>
      <c r="M490" s="9"/>
      <c r="N490" s="9"/>
      <c r="O490" s="7"/>
      <c r="P490" s="7"/>
      <c r="Q490" s="7"/>
      <c r="R490" s="7" t="s">
        <v>3210</v>
      </c>
      <c r="S490" s="7"/>
      <c r="T490" s="7"/>
      <c r="U490" s="10"/>
      <c r="V490" s="7"/>
      <c r="W490" s="7"/>
      <c r="X490" s="7" t="s">
        <v>3196</v>
      </c>
      <c r="Y490" s="7"/>
      <c r="Z490" s="7"/>
      <c r="AA490" s="7"/>
      <c r="AB490" s="8"/>
      <c r="AC490" s="6"/>
      <c r="AD490" s="6"/>
      <c r="AE490" s="6"/>
      <c r="AF490" s="7" t="s">
        <v>583</v>
      </c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8"/>
      <c r="AR490" s="9" t="n">
        <f aca="false">IFERROR(VLOOKUP($X490,Lotes!$A:$E,5,FALSE())*$U490,"")</f>
        <v>0</v>
      </c>
      <c r="AS490" s="9" t="str">
        <f aca="false">IF($L490="","",$L490*2.6)</f>
        <v/>
      </c>
      <c r="AT490" s="9"/>
      <c r="AU490" s="9"/>
      <c r="AV490" s="9"/>
      <c r="AW490" s="9"/>
      <c r="AX490" s="7"/>
      <c r="AY490" s="7"/>
      <c r="AZ490" s="7"/>
      <c r="BA490" s="7" t="s">
        <v>3211</v>
      </c>
      <c r="BB490" s="7" t="s">
        <v>3212</v>
      </c>
      <c r="BC490" s="11" t="s">
        <v>3213</v>
      </c>
      <c r="BD490" s="7" t="s">
        <v>3167</v>
      </c>
      <c r="BE490" s="11"/>
    </row>
    <row r="491" customFormat="false" ht="15" hidden="false" customHeight="false" outlineLevel="0" collapsed="false">
      <c r="A491" s="6" t="n">
        <v>500</v>
      </c>
      <c r="B491" s="7"/>
      <c r="C491" s="7" t="s">
        <v>681</v>
      </c>
      <c r="D491" s="8"/>
      <c r="E491" s="7"/>
      <c r="F491" s="7" t="s">
        <v>3209</v>
      </c>
      <c r="G491" s="6" t="n">
        <v>6</v>
      </c>
      <c r="H491" s="7"/>
      <c r="I491" s="7"/>
      <c r="J491" s="7"/>
      <c r="K491" s="7" t="s">
        <v>371</v>
      </c>
      <c r="L491" s="9"/>
      <c r="M491" s="9"/>
      <c r="N491" s="9"/>
      <c r="O491" s="7"/>
      <c r="P491" s="7"/>
      <c r="Q491" s="7"/>
      <c r="R491" s="7" t="s">
        <v>3214</v>
      </c>
      <c r="S491" s="7"/>
      <c r="T491" s="7"/>
      <c r="U491" s="10"/>
      <c r="V491" s="7"/>
      <c r="W491" s="7"/>
      <c r="X491" s="7" t="s">
        <v>3196</v>
      </c>
      <c r="Y491" s="7"/>
      <c r="Z491" s="7"/>
      <c r="AA491" s="7"/>
      <c r="AB491" s="8"/>
      <c r="AC491" s="6"/>
      <c r="AD491" s="6"/>
      <c r="AE491" s="6"/>
      <c r="AF491" s="7" t="s">
        <v>583</v>
      </c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8"/>
      <c r="AR491" s="9" t="n">
        <f aca="false">IFERROR(VLOOKUP($X491,Lotes!$A:$E,5,FALSE())*$U491,"")</f>
        <v>0</v>
      </c>
      <c r="AS491" s="9" t="str">
        <f aca="false">IF($L491="","",$L491*2.6)</f>
        <v/>
      </c>
      <c r="AT491" s="9"/>
      <c r="AU491" s="9"/>
      <c r="AV491" s="9"/>
      <c r="AW491" s="9"/>
      <c r="AX491" s="7"/>
      <c r="AY491" s="7"/>
      <c r="AZ491" s="7"/>
      <c r="BA491" s="7" t="s">
        <v>3215</v>
      </c>
      <c r="BB491" s="7" t="s">
        <v>3216</v>
      </c>
      <c r="BC491" s="11" t="s">
        <v>3217</v>
      </c>
      <c r="BD491" s="7" t="s">
        <v>3167</v>
      </c>
      <c r="BE491" s="11"/>
    </row>
    <row r="492" customFormat="false" ht="15" hidden="false" customHeight="false" outlineLevel="0" collapsed="false">
      <c r="A492" s="6" t="n">
        <v>501</v>
      </c>
      <c r="B492" s="7"/>
      <c r="C492" s="7" t="s">
        <v>681</v>
      </c>
      <c r="D492" s="8"/>
      <c r="E492" s="7"/>
      <c r="F492" s="7" t="s">
        <v>3209</v>
      </c>
      <c r="G492" s="6" t="n">
        <v>6</v>
      </c>
      <c r="H492" s="7"/>
      <c r="I492" s="7"/>
      <c r="J492" s="7"/>
      <c r="K492" s="7" t="s">
        <v>371</v>
      </c>
      <c r="L492" s="9"/>
      <c r="M492" s="9"/>
      <c r="N492" s="9"/>
      <c r="O492" s="7"/>
      <c r="P492" s="7"/>
      <c r="Q492" s="7"/>
      <c r="R492" s="7" t="s">
        <v>3218</v>
      </c>
      <c r="S492" s="7"/>
      <c r="T492" s="7"/>
      <c r="U492" s="10"/>
      <c r="V492" s="7"/>
      <c r="W492" s="7"/>
      <c r="X492" s="7" t="s">
        <v>3196</v>
      </c>
      <c r="Y492" s="7"/>
      <c r="Z492" s="7"/>
      <c r="AA492" s="7"/>
      <c r="AB492" s="8"/>
      <c r="AC492" s="6"/>
      <c r="AD492" s="6"/>
      <c r="AE492" s="6"/>
      <c r="AF492" s="7" t="s">
        <v>583</v>
      </c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8"/>
      <c r="AR492" s="9" t="n">
        <f aca="false">IFERROR(VLOOKUP($X492,Lotes!$A:$E,5,FALSE())*$U492,"")</f>
        <v>0</v>
      </c>
      <c r="AS492" s="9" t="str">
        <f aca="false">IF($L492="","",$L492*2.6)</f>
        <v/>
      </c>
      <c r="AT492" s="9"/>
      <c r="AU492" s="9"/>
      <c r="AV492" s="9"/>
      <c r="AW492" s="9"/>
      <c r="AX492" s="7"/>
      <c r="AY492" s="7"/>
      <c r="AZ492" s="7"/>
      <c r="BA492" s="7" t="s">
        <v>3219</v>
      </c>
      <c r="BB492" s="7" t="s">
        <v>3220</v>
      </c>
      <c r="BC492" s="11" t="s">
        <v>3221</v>
      </c>
      <c r="BD492" s="7" t="s">
        <v>3167</v>
      </c>
      <c r="BE492" s="11"/>
    </row>
    <row r="493" customFormat="false" ht="15" hidden="false" customHeight="false" outlineLevel="0" collapsed="false">
      <c r="A493" s="6" t="n">
        <v>502</v>
      </c>
      <c r="B493" s="7"/>
      <c r="C493" s="7" t="s">
        <v>3222</v>
      </c>
      <c r="D493" s="8"/>
      <c r="E493" s="7"/>
      <c r="F493" s="7" t="s">
        <v>3209</v>
      </c>
      <c r="G493" s="6" t="n">
        <v>1</v>
      </c>
      <c r="H493" s="7"/>
      <c r="I493" s="7"/>
      <c r="J493" s="7"/>
      <c r="K493" s="7" t="s">
        <v>583</v>
      </c>
      <c r="L493" s="9"/>
      <c r="M493" s="9"/>
      <c r="N493" s="9"/>
      <c r="O493" s="7"/>
      <c r="P493" s="7" t="s">
        <v>1730</v>
      </c>
      <c r="Q493" s="7" t="s">
        <v>90</v>
      </c>
      <c r="R493" s="7" t="s">
        <v>3223</v>
      </c>
      <c r="S493" s="7"/>
      <c r="T493" s="7"/>
      <c r="U493" s="10"/>
      <c r="V493" s="7"/>
      <c r="W493" s="7"/>
      <c r="X493" s="7"/>
      <c r="Y493" s="7"/>
      <c r="Z493" s="7"/>
      <c r="AA493" s="7"/>
      <c r="AB493" s="8"/>
      <c r="AC493" s="6"/>
      <c r="AD493" s="6"/>
      <c r="AE493" s="6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8"/>
      <c r="AR493" s="9" t="str">
        <f aca="false">IFERROR(VLOOKUP($X493,Lotes!$A:$E,5,FALSE())*$U493,"")</f>
        <v/>
      </c>
      <c r="AS493" s="9" t="str">
        <f aca="false">IF($L493="","",$L493*2.6)</f>
        <v/>
      </c>
      <c r="AT493" s="9"/>
      <c r="AU493" s="9"/>
      <c r="AV493" s="9"/>
      <c r="AW493" s="9"/>
      <c r="AX493" s="7"/>
      <c r="AY493" s="7"/>
      <c r="AZ493" s="7"/>
      <c r="BA493" s="7" t="s">
        <v>3224</v>
      </c>
      <c r="BB493" s="7" t="s">
        <v>3225</v>
      </c>
      <c r="BC493" s="11" t="s">
        <v>3226</v>
      </c>
      <c r="BD493" s="7" t="s">
        <v>2052</v>
      </c>
      <c r="BE493" s="11"/>
    </row>
    <row r="494" customFormat="false" ht="15" hidden="false" customHeight="false" outlineLevel="0" collapsed="false">
      <c r="A494" s="6" t="n">
        <v>503</v>
      </c>
      <c r="B494" s="7"/>
      <c r="C494" s="7" t="s">
        <v>681</v>
      </c>
      <c r="D494" s="8"/>
      <c r="E494" s="7"/>
      <c r="F494" s="7" t="s">
        <v>270</v>
      </c>
      <c r="G494" s="6" t="n">
        <v>2</v>
      </c>
      <c r="H494" s="7"/>
      <c r="I494" s="7" t="s">
        <v>271</v>
      </c>
      <c r="J494" s="7" t="s">
        <v>3227</v>
      </c>
      <c r="K494" s="7" t="s">
        <v>907</v>
      </c>
      <c r="L494" s="9"/>
      <c r="M494" s="9"/>
      <c r="N494" s="9"/>
      <c r="O494" s="7"/>
      <c r="P494" s="7"/>
      <c r="Q494" s="7"/>
      <c r="R494" s="7" t="s">
        <v>3228</v>
      </c>
      <c r="S494" s="7"/>
      <c r="T494" s="7"/>
      <c r="U494" s="10"/>
      <c r="V494" s="7"/>
      <c r="W494" s="7"/>
      <c r="X494" s="7" t="s">
        <v>3196</v>
      </c>
      <c r="Y494" s="7"/>
      <c r="Z494" s="7"/>
      <c r="AA494" s="7"/>
      <c r="AB494" s="8"/>
      <c r="AC494" s="6"/>
      <c r="AD494" s="6"/>
      <c r="AE494" s="6"/>
      <c r="AF494" s="7" t="s">
        <v>583</v>
      </c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8" t="n">
        <v>0.62</v>
      </c>
      <c r="AR494" s="9" t="n">
        <f aca="false">IFERROR(VLOOKUP($X494,Lotes!$A:$E,5,FALSE())*$U494,"")</f>
        <v>0</v>
      </c>
      <c r="AS494" s="9" t="str">
        <f aca="false">IF($L494="","",$L494*2.6)</f>
        <v/>
      </c>
      <c r="AT494" s="9"/>
      <c r="AU494" s="9"/>
      <c r="AV494" s="9"/>
      <c r="AW494" s="9"/>
      <c r="AX494" s="7"/>
      <c r="AY494" s="7"/>
      <c r="AZ494" s="7"/>
      <c r="BA494" s="7" t="s">
        <v>3229</v>
      </c>
      <c r="BB494" s="7" t="s">
        <v>3230</v>
      </c>
      <c r="BC494" s="11" t="s">
        <v>3231</v>
      </c>
      <c r="BD494" s="7" t="s">
        <v>3167</v>
      </c>
      <c r="BE494" s="11"/>
    </row>
    <row r="495" customFormat="false" ht="15" hidden="false" customHeight="false" outlineLevel="0" collapsed="false">
      <c r="A495" s="6" t="n">
        <v>504</v>
      </c>
      <c r="B495" s="7"/>
      <c r="C495" s="7" t="s">
        <v>681</v>
      </c>
      <c r="D495" s="8"/>
      <c r="E495" s="7"/>
      <c r="F495" s="7" t="s">
        <v>2067</v>
      </c>
      <c r="G495" s="6" t="n">
        <v>2</v>
      </c>
      <c r="H495" s="7"/>
      <c r="I495" s="7" t="s">
        <v>271</v>
      </c>
      <c r="J495" s="7" t="s">
        <v>3232</v>
      </c>
      <c r="K495" s="7" t="s">
        <v>907</v>
      </c>
      <c r="L495" s="9"/>
      <c r="M495" s="9"/>
      <c r="N495" s="9"/>
      <c r="O495" s="7"/>
      <c r="P495" s="7"/>
      <c r="Q495" s="7"/>
      <c r="R495" s="7" t="s">
        <v>3233</v>
      </c>
      <c r="S495" s="7"/>
      <c r="T495" s="7"/>
      <c r="U495" s="10"/>
      <c r="V495" s="7"/>
      <c r="W495" s="7"/>
      <c r="X495" s="7" t="s">
        <v>3196</v>
      </c>
      <c r="Y495" s="7"/>
      <c r="Z495" s="7"/>
      <c r="AA495" s="7"/>
      <c r="AB495" s="8"/>
      <c r="AC495" s="6"/>
      <c r="AD495" s="6"/>
      <c r="AE495" s="6"/>
      <c r="AF495" s="7" t="s">
        <v>583</v>
      </c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8" t="n">
        <v>0.58</v>
      </c>
      <c r="AR495" s="9" t="n">
        <f aca="false">IFERROR(VLOOKUP($X495,Lotes!$A:$E,5,FALSE())*$U495,"")</f>
        <v>0</v>
      </c>
      <c r="AS495" s="9" t="str">
        <f aca="false">IF($L495="","",$L495*2.6)</f>
        <v/>
      </c>
      <c r="AT495" s="9"/>
      <c r="AU495" s="9"/>
      <c r="AV495" s="9"/>
      <c r="AW495" s="9"/>
      <c r="AX495" s="7"/>
      <c r="AY495" s="7"/>
      <c r="AZ495" s="7"/>
      <c r="BA495" s="7" t="s">
        <v>3234</v>
      </c>
      <c r="BB495" s="7" t="s">
        <v>3235</v>
      </c>
      <c r="BC495" s="11" t="s">
        <v>3236</v>
      </c>
      <c r="BD495" s="7" t="s">
        <v>3167</v>
      </c>
      <c r="BE495" s="11"/>
    </row>
    <row r="496" customFormat="false" ht="15" hidden="false" customHeight="false" outlineLevel="0" collapsed="false">
      <c r="A496" s="6" t="n">
        <v>505</v>
      </c>
      <c r="B496" s="7"/>
      <c r="C496" s="7" t="s">
        <v>3176</v>
      </c>
      <c r="D496" s="8"/>
      <c r="E496" s="7"/>
      <c r="F496" s="7" t="s">
        <v>123</v>
      </c>
      <c r="G496" s="6" t="n">
        <v>2</v>
      </c>
      <c r="H496" s="7"/>
      <c r="I496" s="7" t="s">
        <v>271</v>
      </c>
      <c r="J496" s="7" t="s">
        <v>3237</v>
      </c>
      <c r="K496" s="7" t="s">
        <v>907</v>
      </c>
      <c r="L496" s="9"/>
      <c r="M496" s="9"/>
      <c r="N496" s="9"/>
      <c r="O496" s="7"/>
      <c r="P496" s="7"/>
      <c r="Q496" s="7"/>
      <c r="R496" s="7" t="s">
        <v>3238</v>
      </c>
      <c r="S496" s="7"/>
      <c r="T496" s="7"/>
      <c r="U496" s="10"/>
      <c r="V496" s="7"/>
      <c r="W496" s="7"/>
      <c r="X496" s="7" t="s">
        <v>3196</v>
      </c>
      <c r="Y496" s="7"/>
      <c r="Z496" s="7"/>
      <c r="AA496" s="7"/>
      <c r="AB496" s="8"/>
      <c r="AC496" s="6"/>
      <c r="AD496" s="6"/>
      <c r="AE496" s="6"/>
      <c r="AF496" s="7" t="s">
        <v>583</v>
      </c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8" t="n">
        <v>0.42</v>
      </c>
      <c r="AR496" s="9" t="n">
        <f aca="false">IFERROR(VLOOKUP($X496,Lotes!$A:$E,5,FALSE())*$U496,"")</f>
        <v>0</v>
      </c>
      <c r="AS496" s="9" t="str">
        <f aca="false">IF($L496="","",$L496*2.6)</f>
        <v/>
      </c>
      <c r="AT496" s="9"/>
      <c r="AU496" s="9"/>
      <c r="AV496" s="9"/>
      <c r="AW496" s="9"/>
      <c r="AX496" s="7"/>
      <c r="AY496" s="7"/>
      <c r="AZ496" s="7"/>
      <c r="BA496" s="7" t="s">
        <v>3239</v>
      </c>
      <c r="BB496" s="7" t="s">
        <v>3240</v>
      </c>
      <c r="BC496" s="11" t="s">
        <v>3241</v>
      </c>
      <c r="BD496" s="7" t="s">
        <v>3167</v>
      </c>
      <c r="BE496" s="11"/>
    </row>
    <row r="497" customFormat="false" ht="15" hidden="false" customHeight="false" outlineLevel="0" collapsed="false">
      <c r="A497" s="6" t="n">
        <v>506</v>
      </c>
      <c r="B497" s="7"/>
      <c r="C497" s="7" t="s">
        <v>681</v>
      </c>
      <c r="D497" s="8"/>
      <c r="E497" s="7"/>
      <c r="F497" s="7" t="s">
        <v>123</v>
      </c>
      <c r="G497" s="6" t="n">
        <v>2</v>
      </c>
      <c r="H497" s="7"/>
      <c r="I497" s="7" t="s">
        <v>271</v>
      </c>
      <c r="J497" s="7" t="s">
        <v>3242</v>
      </c>
      <c r="K497" s="7" t="s">
        <v>907</v>
      </c>
      <c r="L497" s="9"/>
      <c r="M497" s="9"/>
      <c r="N497" s="9"/>
      <c r="O497" s="7"/>
      <c r="P497" s="7"/>
      <c r="Q497" s="7"/>
      <c r="R497" s="7" t="s">
        <v>3243</v>
      </c>
      <c r="S497" s="7"/>
      <c r="T497" s="7"/>
      <c r="U497" s="10"/>
      <c r="V497" s="7"/>
      <c r="W497" s="7"/>
      <c r="X497" s="7" t="s">
        <v>3196</v>
      </c>
      <c r="Y497" s="7"/>
      <c r="Z497" s="7"/>
      <c r="AA497" s="7"/>
      <c r="AB497" s="8"/>
      <c r="AC497" s="6"/>
      <c r="AD497" s="6"/>
      <c r="AE497" s="6"/>
      <c r="AF497" s="7" t="s">
        <v>583</v>
      </c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8" t="n">
        <v>0.53</v>
      </c>
      <c r="AR497" s="9" t="n">
        <f aca="false">IFERROR(VLOOKUP($X497,Lotes!$A:$E,5,FALSE())*$U497,"")</f>
        <v>0</v>
      </c>
      <c r="AS497" s="9" t="str">
        <f aca="false">IF($L497="","",$L497*2.6)</f>
        <v/>
      </c>
      <c r="AT497" s="9"/>
      <c r="AU497" s="9"/>
      <c r="AV497" s="9"/>
      <c r="AW497" s="9"/>
      <c r="AX497" s="7"/>
      <c r="AY497" s="7"/>
      <c r="AZ497" s="7"/>
      <c r="BA497" s="7" t="s">
        <v>3244</v>
      </c>
      <c r="BB497" s="7" t="s">
        <v>3245</v>
      </c>
      <c r="BC497" s="11" t="s">
        <v>3246</v>
      </c>
      <c r="BD497" s="7" t="s">
        <v>3167</v>
      </c>
      <c r="BE497" s="11"/>
    </row>
    <row r="498" customFormat="false" ht="15" hidden="false" customHeight="false" outlineLevel="0" collapsed="false">
      <c r="A498" s="6" t="n">
        <v>507</v>
      </c>
      <c r="B498" s="7"/>
      <c r="C498" s="7" t="s">
        <v>3247</v>
      </c>
      <c r="D498" s="8"/>
      <c r="E498" s="7"/>
      <c r="F498" s="7" t="s">
        <v>3209</v>
      </c>
      <c r="G498" s="6"/>
      <c r="H498" s="7"/>
      <c r="I498" s="7"/>
      <c r="J498" s="7"/>
      <c r="K498" s="7" t="s">
        <v>371</v>
      </c>
      <c r="L498" s="9" t="n">
        <v>3236000</v>
      </c>
      <c r="M498" s="9"/>
      <c r="N498" s="9"/>
      <c r="O498" s="7"/>
      <c r="P498" s="7"/>
      <c r="Q498" s="7"/>
      <c r="R498" s="7" t="s">
        <v>3248</v>
      </c>
      <c r="S498" s="7"/>
      <c r="T498" s="7"/>
      <c r="U498" s="10"/>
      <c r="V498" s="7"/>
      <c r="W498" s="7"/>
      <c r="X498" s="7" t="s">
        <v>3249</v>
      </c>
      <c r="Y498" s="7"/>
      <c r="Z498" s="7" t="s">
        <v>3250</v>
      </c>
      <c r="AA498" s="7"/>
      <c r="AB498" s="8"/>
      <c r="AC498" s="6"/>
      <c r="AD498" s="6"/>
      <c r="AE498" s="6"/>
      <c r="AF498" s="7" t="s">
        <v>583</v>
      </c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8"/>
      <c r="AR498" s="9" t="n">
        <f aca="false">IFERROR(VLOOKUP($X498,Lotes!$A:$E,5,FALSE())*$U498,"")</f>
        <v>0</v>
      </c>
      <c r="AS498" s="9" t="n">
        <f aca="false">IF($L498="","",$L498*2.6)</f>
        <v>8413600</v>
      </c>
      <c r="AT498" s="9"/>
      <c r="AU498" s="9"/>
      <c r="AV498" s="9"/>
      <c r="AW498" s="9"/>
      <c r="AX498" s="7"/>
      <c r="AY498" s="7"/>
      <c r="AZ498" s="7"/>
      <c r="BA498" s="7" t="s">
        <v>3251</v>
      </c>
      <c r="BB498" s="7" t="s">
        <v>3252</v>
      </c>
      <c r="BC498" s="11" t="s">
        <v>3253</v>
      </c>
      <c r="BD498" s="7" t="s">
        <v>3167</v>
      </c>
      <c r="BE498" s="11"/>
    </row>
    <row r="499" customFormat="false" ht="15" hidden="false" customHeight="false" outlineLevel="0" collapsed="false">
      <c r="A499" s="6" t="n">
        <v>508</v>
      </c>
      <c r="B499" s="7"/>
      <c r="C499" s="7" t="s">
        <v>3247</v>
      </c>
      <c r="D499" s="8"/>
      <c r="E499" s="7"/>
      <c r="F499" s="7" t="s">
        <v>2067</v>
      </c>
      <c r="G499" s="6" t="n">
        <v>3</v>
      </c>
      <c r="H499" s="7"/>
      <c r="I499" s="7"/>
      <c r="J499" s="7"/>
      <c r="K499" s="7" t="s">
        <v>371</v>
      </c>
      <c r="L499" s="9" t="n">
        <v>516750</v>
      </c>
      <c r="M499" s="9"/>
      <c r="N499" s="9"/>
      <c r="O499" s="7"/>
      <c r="P499" s="7"/>
      <c r="Q499" s="7"/>
      <c r="R499" s="7" t="s">
        <v>3254</v>
      </c>
      <c r="S499" s="7"/>
      <c r="T499" s="7"/>
      <c r="U499" s="10"/>
      <c r="V499" s="7"/>
      <c r="W499" s="7"/>
      <c r="X499" s="7" t="s">
        <v>3249</v>
      </c>
      <c r="Y499" s="7"/>
      <c r="Z499" s="7"/>
      <c r="AA499" s="7"/>
      <c r="AB499" s="8"/>
      <c r="AC499" s="6"/>
      <c r="AD499" s="6"/>
      <c r="AE499" s="6"/>
      <c r="AF499" s="7" t="s">
        <v>583</v>
      </c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8"/>
      <c r="AR499" s="9" t="n">
        <f aca="false">IFERROR(VLOOKUP($X499,Lotes!$A:$E,5,FALSE())*$U499,"")</f>
        <v>0</v>
      </c>
      <c r="AS499" s="9" t="n">
        <f aca="false">IF($L499="","",$L499*2.6)</f>
        <v>1343550</v>
      </c>
      <c r="AT499" s="9" t="n">
        <v>3091155.462</v>
      </c>
      <c r="AU499" s="9"/>
      <c r="AV499" s="9"/>
      <c r="AW499" s="9"/>
      <c r="AX499" s="7"/>
      <c r="AY499" s="7"/>
      <c r="AZ499" s="7"/>
      <c r="BA499" s="7" t="s">
        <v>3255</v>
      </c>
      <c r="BB499" s="7" t="s">
        <v>3256</v>
      </c>
      <c r="BC499" s="11" t="s">
        <v>3257</v>
      </c>
      <c r="BD499" s="7" t="s">
        <v>3167</v>
      </c>
      <c r="BE499" s="11"/>
    </row>
    <row r="500" customFormat="false" ht="15" hidden="false" customHeight="false" outlineLevel="0" collapsed="false">
      <c r="A500" s="6" t="n">
        <v>509</v>
      </c>
      <c r="B500" s="7"/>
      <c r="C500" s="7" t="s">
        <v>3247</v>
      </c>
      <c r="D500" s="8"/>
      <c r="E500" s="7"/>
      <c r="F500" s="7" t="s">
        <v>148</v>
      </c>
      <c r="G500" s="6" t="n">
        <v>3</v>
      </c>
      <c r="H500" s="7"/>
      <c r="I500" s="7"/>
      <c r="J500" s="7"/>
      <c r="K500" s="7" t="s">
        <v>371</v>
      </c>
      <c r="L500" s="9" t="n">
        <v>392000</v>
      </c>
      <c r="M500" s="9"/>
      <c r="N500" s="9"/>
      <c r="O500" s="7"/>
      <c r="P500" s="7"/>
      <c r="Q500" s="7"/>
      <c r="R500" s="7" t="s">
        <v>3258</v>
      </c>
      <c r="S500" s="7"/>
      <c r="T500" s="7"/>
      <c r="U500" s="10"/>
      <c r="V500" s="7"/>
      <c r="W500" s="7"/>
      <c r="X500" s="7" t="s">
        <v>3249</v>
      </c>
      <c r="Y500" s="7"/>
      <c r="Z500" s="7"/>
      <c r="AA500" s="7"/>
      <c r="AB500" s="8"/>
      <c r="AC500" s="6"/>
      <c r="AD500" s="6"/>
      <c r="AE500" s="6"/>
      <c r="AF500" s="7" t="s">
        <v>583</v>
      </c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8"/>
      <c r="AR500" s="9" t="n">
        <f aca="false">IFERROR(VLOOKUP($X500,Lotes!$A:$E,5,FALSE())*$U500,"")</f>
        <v>0</v>
      </c>
      <c r="AS500" s="9" t="n">
        <f aca="false">IF($L500="","",$L500*2.6)</f>
        <v>1019200</v>
      </c>
      <c r="AT500" s="9" t="n">
        <v>2912941.176</v>
      </c>
      <c r="AU500" s="9"/>
      <c r="AV500" s="9"/>
      <c r="AW500" s="9"/>
      <c r="AX500" s="7"/>
      <c r="AY500" s="7"/>
      <c r="AZ500" s="7"/>
      <c r="BA500" s="7" t="s">
        <v>3259</v>
      </c>
      <c r="BB500" s="7" t="s">
        <v>3260</v>
      </c>
      <c r="BC500" s="11" t="s">
        <v>3261</v>
      </c>
      <c r="BD500" s="7" t="s">
        <v>3167</v>
      </c>
      <c r="BE500" s="11"/>
    </row>
    <row r="501" customFormat="false" ht="15" hidden="false" customHeight="false" outlineLevel="0" collapsed="false">
      <c r="A501" s="6" t="n">
        <v>511</v>
      </c>
      <c r="B501" s="7"/>
      <c r="C501" s="7" t="s">
        <v>3262</v>
      </c>
      <c r="D501" s="8" t="n">
        <v>1.71</v>
      </c>
      <c r="E501" s="7" t="s">
        <v>3263</v>
      </c>
      <c r="F501" s="7" t="s">
        <v>123</v>
      </c>
      <c r="G501" s="6" t="n">
        <v>1</v>
      </c>
      <c r="H501" s="7"/>
      <c r="I501" s="7"/>
      <c r="J501" s="7"/>
      <c r="K501" s="7" t="s">
        <v>88</v>
      </c>
      <c r="L501" s="9" t="n">
        <v>476000</v>
      </c>
      <c r="M501" s="9"/>
      <c r="N501" s="9"/>
      <c r="O501" s="7"/>
      <c r="P501" s="7"/>
      <c r="Q501" s="7"/>
      <c r="R501" s="7" t="s">
        <v>3264</v>
      </c>
      <c r="S501" s="7"/>
      <c r="T501" s="7"/>
      <c r="U501" s="10"/>
      <c r="V501" s="7"/>
      <c r="W501" s="7"/>
      <c r="X501" s="7" t="s">
        <v>3249</v>
      </c>
      <c r="Y501" s="7"/>
      <c r="Z501" s="7"/>
      <c r="AA501" s="7"/>
      <c r="AB501" s="8"/>
      <c r="AC501" s="6"/>
      <c r="AD501" s="6"/>
      <c r="AE501" s="6"/>
      <c r="AF501" s="7" t="s">
        <v>583</v>
      </c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8"/>
      <c r="AR501" s="9" t="n">
        <f aca="false">IFERROR(VLOOKUP($X501,Lotes!$A:$E,5,FALSE())*$U501,"")</f>
        <v>0</v>
      </c>
      <c r="AS501" s="9" t="n">
        <f aca="false">IF($L501="","",$L501*2.6)</f>
        <v>1237600</v>
      </c>
      <c r="AT501" s="9" t="n">
        <v>3032941.176</v>
      </c>
      <c r="AU501" s="9"/>
      <c r="AV501" s="9"/>
      <c r="AW501" s="9"/>
      <c r="AX501" s="7"/>
      <c r="AY501" s="7"/>
      <c r="AZ501" s="7"/>
      <c r="BA501" s="7" t="s">
        <v>3265</v>
      </c>
      <c r="BB501" s="7" t="s">
        <v>3266</v>
      </c>
      <c r="BC501" s="11" t="s">
        <v>3267</v>
      </c>
      <c r="BD501" s="7" t="s">
        <v>3167</v>
      </c>
      <c r="BE501" s="11"/>
    </row>
    <row r="502" customFormat="false" ht="15" hidden="false" customHeight="false" outlineLevel="0" collapsed="false">
      <c r="A502" s="6" t="n">
        <v>512</v>
      </c>
      <c r="B502" s="7"/>
      <c r="C502" s="7" t="s">
        <v>3268</v>
      </c>
      <c r="D502" s="8" t="n">
        <v>1.52</v>
      </c>
      <c r="E502" s="7" t="s">
        <v>386</v>
      </c>
      <c r="F502" s="7" t="s">
        <v>86</v>
      </c>
      <c r="G502" s="6" t="n">
        <v>1</v>
      </c>
      <c r="H502" s="7"/>
      <c r="I502" s="7"/>
      <c r="J502" s="7"/>
      <c r="K502" s="7" t="s">
        <v>88</v>
      </c>
      <c r="L502" s="9" t="n">
        <v>420000</v>
      </c>
      <c r="M502" s="9"/>
      <c r="N502" s="9"/>
      <c r="O502" s="7"/>
      <c r="P502" s="7"/>
      <c r="Q502" s="7"/>
      <c r="R502" s="7" t="s">
        <v>3269</v>
      </c>
      <c r="S502" s="7"/>
      <c r="T502" s="7"/>
      <c r="U502" s="10"/>
      <c r="V502" s="7"/>
      <c r="W502" s="7"/>
      <c r="X502" s="7" t="s">
        <v>3249</v>
      </c>
      <c r="Y502" s="7"/>
      <c r="Z502" s="7"/>
      <c r="AA502" s="7"/>
      <c r="AB502" s="8"/>
      <c r="AC502" s="6"/>
      <c r="AD502" s="6"/>
      <c r="AE502" s="6"/>
      <c r="AF502" s="7" t="s">
        <v>583</v>
      </c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8"/>
      <c r="AR502" s="9" t="n">
        <f aca="false">IFERROR(VLOOKUP($X502,Lotes!$A:$E,5,FALSE())*$U502,"")</f>
        <v>0</v>
      </c>
      <c r="AS502" s="9" t="n">
        <f aca="false">IF($L502="","",$L502*2.6)</f>
        <v>1092000</v>
      </c>
      <c r="AT502" s="9" t="n">
        <v>2952941.176</v>
      </c>
      <c r="AU502" s="9"/>
      <c r="AV502" s="9"/>
      <c r="AW502" s="9"/>
      <c r="AX502" s="7"/>
      <c r="AY502" s="7"/>
      <c r="AZ502" s="7"/>
      <c r="BA502" s="7" t="s">
        <v>3270</v>
      </c>
      <c r="BB502" s="7" t="s">
        <v>3271</v>
      </c>
      <c r="BC502" s="11" t="s">
        <v>3272</v>
      </c>
      <c r="BD502" s="7" t="s">
        <v>3167</v>
      </c>
      <c r="BE502" s="11"/>
    </row>
    <row r="503" customFormat="false" ht="15" hidden="false" customHeight="false" outlineLevel="0" collapsed="false">
      <c r="A503" s="6" t="n">
        <v>513</v>
      </c>
      <c r="B503" s="7"/>
      <c r="C503" s="7" t="s">
        <v>3268</v>
      </c>
      <c r="D503" s="8" t="n">
        <v>0.69</v>
      </c>
      <c r="E503" s="7" t="s">
        <v>3263</v>
      </c>
      <c r="F503" s="7" t="s">
        <v>86</v>
      </c>
      <c r="G503" s="6" t="n">
        <v>1</v>
      </c>
      <c r="H503" s="7"/>
      <c r="I503" s="7"/>
      <c r="J503" s="7"/>
      <c r="K503" s="7" t="s">
        <v>88</v>
      </c>
      <c r="L503" s="9" t="n">
        <v>193200</v>
      </c>
      <c r="M503" s="9"/>
      <c r="N503" s="9"/>
      <c r="O503" s="7"/>
      <c r="P503" s="7"/>
      <c r="Q503" s="7"/>
      <c r="R503" s="7" t="s">
        <v>3273</v>
      </c>
      <c r="S503" s="7"/>
      <c r="T503" s="7"/>
      <c r="U503" s="10"/>
      <c r="V503" s="7"/>
      <c r="W503" s="7"/>
      <c r="X503" s="7" t="s">
        <v>3249</v>
      </c>
      <c r="Y503" s="7"/>
      <c r="Z503" s="7"/>
      <c r="AA503" s="7"/>
      <c r="AB503" s="8"/>
      <c r="AC503" s="6"/>
      <c r="AD503" s="6"/>
      <c r="AE503" s="6"/>
      <c r="AF503" s="7" t="s">
        <v>583</v>
      </c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8"/>
      <c r="AR503" s="9" t="n">
        <f aca="false">IFERROR(VLOOKUP($X503,Lotes!$A:$E,5,FALSE())*$U503,"")</f>
        <v>0</v>
      </c>
      <c r="AS503" s="9" t="n">
        <f aca="false">IF($L503="","",$L503*2.6)</f>
        <v>502320</v>
      </c>
      <c r="AT503" s="9" t="n">
        <v>2628941.176</v>
      </c>
      <c r="AU503" s="9"/>
      <c r="AV503" s="9"/>
      <c r="AW503" s="9"/>
      <c r="AX503" s="7"/>
      <c r="AY503" s="7"/>
      <c r="AZ503" s="7"/>
      <c r="BA503" s="7" t="s">
        <v>3274</v>
      </c>
      <c r="BB503" s="7" t="s">
        <v>3275</v>
      </c>
      <c r="BC503" s="11" t="s">
        <v>3276</v>
      </c>
      <c r="BD503" s="7" t="s">
        <v>3167</v>
      </c>
      <c r="BE503" s="11"/>
    </row>
    <row r="504" customFormat="false" ht="15" hidden="false" customHeight="false" outlineLevel="0" collapsed="false">
      <c r="A504" s="6" t="n">
        <v>514</v>
      </c>
      <c r="B504" s="7"/>
      <c r="C504" s="7" t="s">
        <v>3277</v>
      </c>
      <c r="D504" s="8" t="n">
        <v>0.39</v>
      </c>
      <c r="E504" s="7" t="s">
        <v>3132</v>
      </c>
      <c r="F504" s="7" t="s">
        <v>270</v>
      </c>
      <c r="G504" s="6" t="n">
        <v>1</v>
      </c>
      <c r="H504" s="7"/>
      <c r="I504" s="7"/>
      <c r="J504" s="7"/>
      <c r="K504" s="7" t="s">
        <v>88</v>
      </c>
      <c r="L504" s="9" t="n">
        <v>156000</v>
      </c>
      <c r="M504" s="9"/>
      <c r="N504" s="9"/>
      <c r="O504" s="7"/>
      <c r="P504" s="7"/>
      <c r="Q504" s="7"/>
      <c r="R504" s="7" t="s">
        <v>3278</v>
      </c>
      <c r="S504" s="7"/>
      <c r="T504" s="7"/>
      <c r="U504" s="10"/>
      <c r="V504" s="7"/>
      <c r="W504" s="7"/>
      <c r="X504" s="7" t="s">
        <v>3249</v>
      </c>
      <c r="Y504" s="7"/>
      <c r="Z504" s="7"/>
      <c r="AA504" s="7"/>
      <c r="AB504" s="8"/>
      <c r="AC504" s="6"/>
      <c r="AD504" s="6"/>
      <c r="AE504" s="6"/>
      <c r="AF504" s="7" t="s">
        <v>583</v>
      </c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8"/>
      <c r="AR504" s="9" t="n">
        <f aca="false">IFERROR(VLOOKUP($X504,Lotes!$A:$E,5,FALSE())*$U504,"")</f>
        <v>0</v>
      </c>
      <c r="AS504" s="9" t="n">
        <f aca="false">IF($L504="","",$L504*2.6)</f>
        <v>405600</v>
      </c>
      <c r="AT504" s="9" t="n">
        <v>2575798.319</v>
      </c>
      <c r="AU504" s="9"/>
      <c r="AV504" s="9"/>
      <c r="AW504" s="9"/>
      <c r="AX504" s="7"/>
      <c r="AY504" s="7"/>
      <c r="AZ504" s="7"/>
      <c r="BA504" s="7" t="s">
        <v>3279</v>
      </c>
      <c r="BB504" s="7" t="s">
        <v>3280</v>
      </c>
      <c r="BC504" s="11" t="s">
        <v>3281</v>
      </c>
      <c r="BD504" s="7" t="s">
        <v>3167</v>
      </c>
      <c r="BE504" s="11"/>
    </row>
    <row r="505" customFormat="false" ht="15" hidden="false" customHeight="false" outlineLevel="0" collapsed="false">
      <c r="A505" s="6" t="n">
        <v>515</v>
      </c>
      <c r="B505" s="7"/>
      <c r="C505" s="7" t="s">
        <v>3277</v>
      </c>
      <c r="D505" s="8" t="n">
        <v>0.33</v>
      </c>
      <c r="E505" s="7" t="s">
        <v>3263</v>
      </c>
      <c r="F505" s="7" t="s">
        <v>270</v>
      </c>
      <c r="G505" s="6" t="n">
        <v>1</v>
      </c>
      <c r="H505" s="7"/>
      <c r="I505" s="7"/>
      <c r="J505" s="7"/>
      <c r="K505" s="7" t="s">
        <v>88</v>
      </c>
      <c r="L505" s="9" t="n">
        <v>132000</v>
      </c>
      <c r="M505" s="9"/>
      <c r="N505" s="9"/>
      <c r="O505" s="7"/>
      <c r="P505" s="7"/>
      <c r="Q505" s="7"/>
      <c r="R505" s="7" t="s">
        <v>3282</v>
      </c>
      <c r="S505" s="7"/>
      <c r="T505" s="7"/>
      <c r="U505" s="10"/>
      <c r="V505" s="7"/>
      <c r="W505" s="7"/>
      <c r="X505" s="7" t="s">
        <v>3249</v>
      </c>
      <c r="Y505" s="7"/>
      <c r="Z505" s="7"/>
      <c r="AA505" s="7"/>
      <c r="AB505" s="8"/>
      <c r="AC505" s="6"/>
      <c r="AD505" s="6"/>
      <c r="AE505" s="6"/>
      <c r="AF505" s="7" t="s">
        <v>583</v>
      </c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8"/>
      <c r="AR505" s="9" t="n">
        <f aca="false">IFERROR(VLOOKUP($X505,Lotes!$A:$E,5,FALSE())*$U505,"")</f>
        <v>0</v>
      </c>
      <c r="AS505" s="9" t="n">
        <f aca="false">IF($L505="","",$L505*2.6)</f>
        <v>343200</v>
      </c>
      <c r="AT505" s="9" t="n">
        <v>2541512.605</v>
      </c>
      <c r="AU505" s="9"/>
      <c r="AV505" s="9"/>
      <c r="AW505" s="9"/>
      <c r="AX505" s="7"/>
      <c r="AY505" s="7"/>
      <c r="AZ505" s="7"/>
      <c r="BA505" s="7" t="s">
        <v>3283</v>
      </c>
      <c r="BB505" s="7" t="s">
        <v>3284</v>
      </c>
      <c r="BC505" s="11" t="s">
        <v>3285</v>
      </c>
      <c r="BD505" s="7" t="s">
        <v>3167</v>
      </c>
      <c r="BE505" s="11"/>
    </row>
    <row r="506" customFormat="false" ht="15" hidden="false" customHeight="false" outlineLevel="0" collapsed="false">
      <c r="A506" s="6" t="n">
        <v>516</v>
      </c>
      <c r="B506" s="7"/>
      <c r="C506" s="7" t="s">
        <v>3286</v>
      </c>
      <c r="D506" s="8" t="n">
        <v>0.42</v>
      </c>
      <c r="E506" s="7" t="s">
        <v>386</v>
      </c>
      <c r="F506" s="7" t="s">
        <v>270</v>
      </c>
      <c r="G506" s="6" t="n">
        <v>1</v>
      </c>
      <c r="H506" s="7"/>
      <c r="I506" s="7"/>
      <c r="J506" s="7"/>
      <c r="K506" s="7" t="s">
        <v>583</v>
      </c>
      <c r="L506" s="9" t="n">
        <v>256200</v>
      </c>
      <c r="M506" s="9"/>
      <c r="N506" s="9"/>
      <c r="O506" s="7"/>
      <c r="P506" s="7" t="s">
        <v>1730</v>
      </c>
      <c r="Q506" s="7" t="s">
        <v>90</v>
      </c>
      <c r="R506" s="7" t="s">
        <v>3287</v>
      </c>
      <c r="S506" s="7"/>
      <c r="T506" s="7"/>
      <c r="U506" s="10"/>
      <c r="V506" s="7"/>
      <c r="W506" s="7"/>
      <c r="X506" s="7" t="s">
        <v>3249</v>
      </c>
      <c r="Y506" s="7"/>
      <c r="Z506" s="7"/>
      <c r="AA506" s="7"/>
      <c r="AB506" s="8"/>
      <c r="AC506" s="6"/>
      <c r="AD506" s="6"/>
      <c r="AE506" s="6"/>
      <c r="AF506" s="7" t="s">
        <v>583</v>
      </c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8"/>
      <c r="AR506" s="9" t="n">
        <f aca="false">IFERROR(VLOOKUP($X506,Lotes!$A:$E,5,FALSE())*$U506,"")</f>
        <v>0</v>
      </c>
      <c r="AS506" s="9" t="n">
        <f aca="false">IF($L506="","",$L506*2.6)</f>
        <v>666120</v>
      </c>
      <c r="AT506" s="9" t="n">
        <v>2718941.176</v>
      </c>
      <c r="AU506" s="9"/>
      <c r="AV506" s="9"/>
      <c r="AW506" s="9"/>
      <c r="AX506" s="7"/>
      <c r="AY506" s="7"/>
      <c r="AZ506" s="7"/>
      <c r="BA506" s="7" t="s">
        <v>3288</v>
      </c>
      <c r="BB506" s="7" t="s">
        <v>3289</v>
      </c>
      <c r="BC506" s="11" t="s">
        <v>3290</v>
      </c>
      <c r="BD506" s="7" t="s">
        <v>2902</v>
      </c>
      <c r="BE506" s="11"/>
    </row>
    <row r="507" customFormat="false" ht="15" hidden="false" customHeight="false" outlineLevel="0" collapsed="false">
      <c r="A507" s="6" t="n">
        <v>517</v>
      </c>
      <c r="B507" s="7"/>
      <c r="C507" s="7" t="s">
        <v>87</v>
      </c>
      <c r="D507" s="8" t="n">
        <v>0.18</v>
      </c>
      <c r="E507" s="7" t="s">
        <v>3263</v>
      </c>
      <c r="F507" s="7" t="s">
        <v>270</v>
      </c>
      <c r="G507" s="6" t="n">
        <v>1</v>
      </c>
      <c r="H507" s="7"/>
      <c r="I507" s="7"/>
      <c r="J507" s="7"/>
      <c r="K507" s="7" t="s">
        <v>88</v>
      </c>
      <c r="L507" s="9" t="n">
        <v>109800</v>
      </c>
      <c r="M507" s="9"/>
      <c r="N507" s="9"/>
      <c r="O507" s="7"/>
      <c r="P507" s="7"/>
      <c r="Q507" s="7"/>
      <c r="R507" s="7" t="s">
        <v>3291</v>
      </c>
      <c r="S507" s="7"/>
      <c r="T507" s="7"/>
      <c r="U507" s="10"/>
      <c r="V507" s="7"/>
      <c r="W507" s="7"/>
      <c r="X507" s="7" t="s">
        <v>3249</v>
      </c>
      <c r="Y507" s="7"/>
      <c r="Z507" s="7"/>
      <c r="AA507" s="7"/>
      <c r="AB507" s="8"/>
      <c r="AC507" s="6"/>
      <c r="AD507" s="6"/>
      <c r="AE507" s="6"/>
      <c r="AF507" s="7" t="s">
        <v>583</v>
      </c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8"/>
      <c r="AR507" s="9" t="n">
        <f aca="false">IFERROR(VLOOKUP($X507,Lotes!$A:$E,5,FALSE())*$U507,"")</f>
        <v>0</v>
      </c>
      <c r="AS507" s="9" t="n">
        <f aca="false">IF($L507="","",$L507*2.6)</f>
        <v>285480</v>
      </c>
      <c r="AT507" s="9"/>
      <c r="AU507" s="9"/>
      <c r="AV507" s="9"/>
      <c r="AW507" s="9"/>
      <c r="AX507" s="7"/>
      <c r="AY507" s="7"/>
      <c r="AZ507" s="7"/>
      <c r="BA507" s="7" t="s">
        <v>3292</v>
      </c>
      <c r="BB507" s="7" t="s">
        <v>3293</v>
      </c>
      <c r="BC507" s="11" t="s">
        <v>3294</v>
      </c>
      <c r="BD507" s="7" t="s">
        <v>3167</v>
      </c>
      <c r="BE507" s="11"/>
    </row>
    <row r="508" customFormat="false" ht="15" hidden="false" customHeight="false" outlineLevel="0" collapsed="false">
      <c r="A508" s="6" t="n">
        <v>518</v>
      </c>
      <c r="B508" s="7"/>
      <c r="C508" s="7" t="s">
        <v>3176</v>
      </c>
      <c r="D508" s="8" t="n">
        <v>0.51</v>
      </c>
      <c r="E508" s="7"/>
      <c r="F508" s="7" t="s">
        <v>270</v>
      </c>
      <c r="G508" s="6" t="n">
        <v>1</v>
      </c>
      <c r="H508" s="7"/>
      <c r="I508" s="7" t="s">
        <v>271</v>
      </c>
      <c r="J508" s="7" t="s">
        <v>2912</v>
      </c>
      <c r="K508" s="7" t="s">
        <v>353</v>
      </c>
      <c r="L508" s="9" t="n">
        <v>335230</v>
      </c>
      <c r="M508" s="9"/>
      <c r="N508" s="9"/>
      <c r="O508" s="7"/>
      <c r="P508" s="7"/>
      <c r="Q508" s="7"/>
      <c r="R508" s="7" t="s">
        <v>3295</v>
      </c>
      <c r="S508" s="7"/>
      <c r="T508" s="7"/>
      <c r="U508" s="10"/>
      <c r="V508" s="7"/>
      <c r="W508" s="7"/>
      <c r="X508" s="7" t="s">
        <v>3249</v>
      </c>
      <c r="Y508" s="7"/>
      <c r="Z508" s="7"/>
      <c r="AA508" s="7"/>
      <c r="AB508" s="8"/>
      <c r="AC508" s="6"/>
      <c r="AD508" s="6"/>
      <c r="AE508" s="6"/>
      <c r="AF508" s="7" t="s">
        <v>583</v>
      </c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8" t="n">
        <v>1.27</v>
      </c>
      <c r="AR508" s="9" t="n">
        <f aca="false">IFERROR(VLOOKUP($X508,Lotes!$A:$E,5,FALSE())*$U508,"")</f>
        <v>0</v>
      </c>
      <c r="AS508" s="9" t="n">
        <f aca="false">IF($L508="","",$L508*2.6)</f>
        <v>871598</v>
      </c>
      <c r="AT508" s="9" t="n">
        <v>2831841.176</v>
      </c>
      <c r="AU508" s="9"/>
      <c r="AV508" s="9"/>
      <c r="AW508" s="9"/>
      <c r="AX508" s="7"/>
      <c r="AY508" s="7"/>
      <c r="AZ508" s="7"/>
      <c r="BA508" s="7" t="s">
        <v>3296</v>
      </c>
      <c r="BB508" s="7" t="s">
        <v>3297</v>
      </c>
      <c r="BC508" s="11" t="s">
        <v>3298</v>
      </c>
      <c r="BD508" s="7" t="s">
        <v>3167</v>
      </c>
      <c r="BE508" s="11" t="s">
        <v>3299</v>
      </c>
    </row>
    <row r="509" customFormat="false" ht="15" hidden="false" customHeight="false" outlineLevel="0" collapsed="false">
      <c r="A509" s="6" t="n">
        <v>519</v>
      </c>
      <c r="B509" s="7"/>
      <c r="C509" s="7" t="s">
        <v>681</v>
      </c>
      <c r="D509" s="8" t="n">
        <v>0.34</v>
      </c>
      <c r="E509" s="7"/>
      <c r="F509" s="7" t="s">
        <v>86</v>
      </c>
      <c r="G509" s="6" t="n">
        <v>1</v>
      </c>
      <c r="H509" s="7"/>
      <c r="I509" s="7"/>
      <c r="J509" s="7"/>
      <c r="K509" s="7" t="s">
        <v>353</v>
      </c>
      <c r="L509" s="9" t="n">
        <v>248820</v>
      </c>
      <c r="M509" s="9"/>
      <c r="N509" s="9"/>
      <c r="O509" s="7"/>
      <c r="P509" s="7"/>
      <c r="Q509" s="7"/>
      <c r="R509" s="7" t="s">
        <v>3300</v>
      </c>
      <c r="S509" s="7"/>
      <c r="T509" s="7"/>
      <c r="U509" s="10"/>
      <c r="V509" s="7"/>
      <c r="W509" s="7"/>
      <c r="X509" s="7" t="s">
        <v>3249</v>
      </c>
      <c r="Y509" s="7"/>
      <c r="Z509" s="7"/>
      <c r="AA509" s="7"/>
      <c r="AB509" s="8"/>
      <c r="AC509" s="6"/>
      <c r="AD509" s="6"/>
      <c r="AE509" s="6"/>
      <c r="AF509" s="7" t="s">
        <v>583</v>
      </c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8" t="n">
        <v>2.18</v>
      </c>
      <c r="AR509" s="9" t="n">
        <f aca="false">IFERROR(VLOOKUP($X509,Lotes!$A:$E,5,FALSE())*$U509,"")</f>
        <v>0</v>
      </c>
      <c r="AS509" s="9" t="n">
        <f aca="false">IF($L509="","",$L509*2.6)</f>
        <v>646932</v>
      </c>
      <c r="AT509" s="9"/>
      <c r="AU509" s="9"/>
      <c r="AV509" s="9"/>
      <c r="AW509" s="9"/>
      <c r="AX509" s="7"/>
      <c r="AY509" s="7"/>
      <c r="AZ509" s="7"/>
      <c r="BA509" s="7" t="s">
        <v>3301</v>
      </c>
      <c r="BB509" s="7" t="s">
        <v>3302</v>
      </c>
      <c r="BC509" s="11" t="s">
        <v>3303</v>
      </c>
      <c r="BD509" s="7" t="s">
        <v>3167</v>
      </c>
      <c r="BE509" s="11"/>
    </row>
    <row r="510" customFormat="false" ht="23.85" hidden="false" customHeight="false" outlineLevel="0" collapsed="false">
      <c r="A510" s="6" t="n">
        <v>520</v>
      </c>
      <c r="B510" s="7"/>
      <c r="C510" s="7" t="s">
        <v>3304</v>
      </c>
      <c r="D510" s="8"/>
      <c r="E510" s="7"/>
      <c r="F510" s="7"/>
      <c r="G510" s="6" t="n">
        <v>18</v>
      </c>
      <c r="H510" s="7"/>
      <c r="I510" s="7"/>
      <c r="J510" s="7"/>
      <c r="K510" s="7" t="s">
        <v>2926</v>
      </c>
      <c r="L510" s="9" t="n">
        <v>225000</v>
      </c>
      <c r="M510" s="9"/>
      <c r="N510" s="9"/>
      <c r="O510" s="7"/>
      <c r="P510" s="7"/>
      <c r="Q510" s="7" t="s">
        <v>155</v>
      </c>
      <c r="R510" s="7" t="s">
        <v>3305</v>
      </c>
      <c r="S510" s="7"/>
      <c r="T510" s="7"/>
      <c r="U510" s="10" t="n">
        <v>0</v>
      </c>
      <c r="V510" s="7"/>
      <c r="W510" s="7"/>
      <c r="X510" s="7" t="s">
        <v>2951</v>
      </c>
      <c r="Y510" s="12" t="b">
        <f aca="false">FALSE()</f>
        <v>0</v>
      </c>
      <c r="Z510" s="7"/>
      <c r="AA510" s="7"/>
      <c r="AB510" s="8"/>
      <c r="AC510" s="6"/>
      <c r="AD510" s="6"/>
      <c r="AE510" s="6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8" t="n">
        <v>5</v>
      </c>
      <c r="AR510" s="9" t="n">
        <f aca="false">IFERROR(VLOOKUP($X510,Lotes!$A:$E,5,FALSE())*$U510,"")</f>
        <v>0</v>
      </c>
      <c r="AS510" s="9" t="n">
        <f aca="false">IF($L510="","",$L510*2.6)</f>
        <v>585000</v>
      </c>
      <c r="AT510" s="9"/>
      <c r="AU510" s="9"/>
      <c r="AV510" s="9"/>
      <c r="AW510" s="9"/>
      <c r="AX510" s="7"/>
      <c r="AY510" s="7"/>
      <c r="AZ510" s="7"/>
      <c r="BA510" s="7" t="s">
        <v>3306</v>
      </c>
      <c r="BB510" s="7" t="s">
        <v>3307</v>
      </c>
      <c r="BC510" s="11" t="s">
        <v>3308</v>
      </c>
      <c r="BD510" s="7" t="s">
        <v>2598</v>
      </c>
      <c r="BE510" s="11"/>
    </row>
    <row r="511" customFormat="false" ht="15" hidden="false" customHeight="false" outlineLevel="0" collapsed="false">
      <c r="A511" s="6" t="n">
        <v>521</v>
      </c>
      <c r="B511" s="7"/>
      <c r="C511" s="7" t="s">
        <v>3309</v>
      </c>
      <c r="D511" s="8"/>
      <c r="E511" s="7"/>
      <c r="F511" s="7"/>
      <c r="G511" s="6" t="n">
        <v>2</v>
      </c>
      <c r="H511" s="7"/>
      <c r="I511" s="7"/>
      <c r="J511" s="7"/>
      <c r="K511" s="7" t="s">
        <v>2926</v>
      </c>
      <c r="L511" s="9" t="n">
        <v>14800</v>
      </c>
      <c r="M511" s="9"/>
      <c r="N511" s="9"/>
      <c r="O511" s="7"/>
      <c r="P511" s="7"/>
      <c r="Q511" s="7" t="s">
        <v>155</v>
      </c>
      <c r="R511" s="7" t="s">
        <v>3310</v>
      </c>
      <c r="S511" s="7"/>
      <c r="T511" s="7"/>
      <c r="U511" s="10" t="n">
        <v>0</v>
      </c>
      <c r="V511" s="7"/>
      <c r="W511" s="7"/>
      <c r="X511" s="7" t="s">
        <v>2951</v>
      </c>
      <c r="Y511" s="12" t="b">
        <f aca="false">FALSE()</f>
        <v>0</v>
      </c>
      <c r="Z511" s="7"/>
      <c r="AA511" s="7"/>
      <c r="AB511" s="8"/>
      <c r="AC511" s="6"/>
      <c r="AD511" s="6"/>
      <c r="AE511" s="6"/>
      <c r="AF511" s="7"/>
      <c r="AG511" s="7"/>
      <c r="AH511" s="7"/>
      <c r="AI511" s="7"/>
      <c r="AJ511" s="7"/>
      <c r="AK511" s="7"/>
      <c r="AL511" s="7" t="s">
        <v>3311</v>
      </c>
      <c r="AM511" s="7"/>
      <c r="AN511" s="7"/>
      <c r="AO511" s="7"/>
      <c r="AP511" s="7"/>
      <c r="AQ511" s="8" t="n">
        <v>0.47</v>
      </c>
      <c r="AR511" s="9" t="n">
        <f aca="false">IFERROR(VLOOKUP($X511,Lotes!$A:$E,5,FALSE())*$U511,"")</f>
        <v>0</v>
      </c>
      <c r="AS511" s="9" t="n">
        <f aca="false">IF($L511="","",$L511*2.6)</f>
        <v>38480</v>
      </c>
      <c r="AT511" s="9"/>
      <c r="AU511" s="9"/>
      <c r="AV511" s="9"/>
      <c r="AW511" s="9"/>
      <c r="AX511" s="7"/>
      <c r="AY511" s="7"/>
      <c r="AZ511" s="7"/>
      <c r="BA511" s="7" t="s">
        <v>3312</v>
      </c>
      <c r="BB511" s="7" t="s">
        <v>3313</v>
      </c>
      <c r="BC511" s="11" t="s">
        <v>3314</v>
      </c>
      <c r="BD511" s="7" t="s">
        <v>2598</v>
      </c>
      <c r="BE511" s="11"/>
    </row>
    <row r="512" customFormat="false" ht="15" hidden="false" customHeight="false" outlineLevel="0" collapsed="false">
      <c r="A512" s="6" t="n">
        <v>522</v>
      </c>
      <c r="B512" s="7"/>
      <c r="C512" s="7" t="s">
        <v>3315</v>
      </c>
      <c r="D512" s="8"/>
      <c r="E512" s="7"/>
      <c r="F512" s="7"/>
      <c r="G512" s="6" t="n">
        <v>20</v>
      </c>
      <c r="H512" s="7"/>
      <c r="I512" s="7"/>
      <c r="J512" s="7"/>
      <c r="K512" s="7" t="s">
        <v>2926</v>
      </c>
      <c r="L512" s="9" t="n">
        <v>0</v>
      </c>
      <c r="M512" s="9"/>
      <c r="N512" s="9"/>
      <c r="O512" s="7"/>
      <c r="P512" s="7"/>
      <c r="Q512" s="7" t="s">
        <v>155</v>
      </c>
      <c r="R512" s="7" t="s">
        <v>3316</v>
      </c>
      <c r="S512" s="7"/>
      <c r="T512" s="7"/>
      <c r="U512" s="10" t="n">
        <v>0.5</v>
      </c>
      <c r="V512" s="7"/>
      <c r="W512" s="7"/>
      <c r="X512" s="7" t="s">
        <v>3317</v>
      </c>
      <c r="Y512" s="12" t="b">
        <f aca="false">FALSE()</f>
        <v>0</v>
      </c>
      <c r="Z512" s="7"/>
      <c r="AA512" s="7"/>
      <c r="AB512" s="8"/>
      <c r="AC512" s="6"/>
      <c r="AD512" s="6"/>
      <c r="AE512" s="6"/>
      <c r="AF512" s="7"/>
      <c r="AG512" s="7"/>
      <c r="AH512" s="7"/>
      <c r="AI512" s="7"/>
      <c r="AJ512" s="7"/>
      <c r="AK512" s="7"/>
      <c r="AL512" s="7" t="s">
        <v>3318</v>
      </c>
      <c r="AM512" s="7"/>
      <c r="AN512" s="7"/>
      <c r="AO512" s="7"/>
      <c r="AP512" s="7"/>
      <c r="AQ512" s="8"/>
      <c r="AR512" s="9" t="n">
        <f aca="false">IFERROR(VLOOKUP($X512,Lotes!$A:$E,5,FALSE())*$U512,"")</f>
        <v>0</v>
      </c>
      <c r="AS512" s="9" t="n">
        <f aca="false">IF($L512="","",$L512*2.6)</f>
        <v>0</v>
      </c>
      <c r="AT512" s="9"/>
      <c r="AU512" s="9"/>
      <c r="AV512" s="9"/>
      <c r="AW512" s="9"/>
      <c r="AX512" s="7"/>
      <c r="AY512" s="7"/>
      <c r="AZ512" s="7"/>
      <c r="BA512" s="7" t="s">
        <v>3319</v>
      </c>
      <c r="BB512" s="7" t="s">
        <v>3320</v>
      </c>
      <c r="BC512" s="11" t="s">
        <v>3321</v>
      </c>
      <c r="BD512" s="7" t="s">
        <v>2052</v>
      </c>
      <c r="BE512" s="11"/>
    </row>
    <row r="513" customFormat="false" ht="15" hidden="false" customHeight="false" outlineLevel="0" collapsed="false">
      <c r="A513" s="6" t="n">
        <v>523</v>
      </c>
      <c r="B513" s="7"/>
      <c r="C513" s="7" t="s">
        <v>3322</v>
      </c>
      <c r="D513" s="8"/>
      <c r="E513" s="7"/>
      <c r="F513" s="7"/>
      <c r="G513" s="6" t="n">
        <v>10</v>
      </c>
      <c r="H513" s="7"/>
      <c r="I513" s="7"/>
      <c r="J513" s="7"/>
      <c r="K513" s="7" t="s">
        <v>2926</v>
      </c>
      <c r="L513" s="9" t="n">
        <v>0</v>
      </c>
      <c r="M513" s="9"/>
      <c r="N513" s="9"/>
      <c r="O513" s="7"/>
      <c r="P513" s="7"/>
      <c r="Q513" s="7" t="s">
        <v>155</v>
      </c>
      <c r="R513" s="7" t="s">
        <v>3323</v>
      </c>
      <c r="S513" s="7"/>
      <c r="T513" s="7"/>
      <c r="U513" s="10" t="n">
        <v>0.5</v>
      </c>
      <c r="V513" s="7"/>
      <c r="W513" s="7"/>
      <c r="X513" s="7" t="s">
        <v>3317</v>
      </c>
      <c r="Y513" s="12" t="b">
        <f aca="false">FALSE()</f>
        <v>0</v>
      </c>
      <c r="Z513" s="7"/>
      <c r="AA513" s="7"/>
      <c r="AB513" s="8"/>
      <c r="AC513" s="6"/>
      <c r="AD513" s="6"/>
      <c r="AE513" s="6"/>
      <c r="AF513" s="7"/>
      <c r="AG513" s="7"/>
      <c r="AH513" s="7"/>
      <c r="AI513" s="7"/>
      <c r="AJ513" s="7"/>
      <c r="AK513" s="7"/>
      <c r="AL513" s="7" t="s">
        <v>3318</v>
      </c>
      <c r="AM513" s="7"/>
      <c r="AN513" s="7"/>
      <c r="AO513" s="7"/>
      <c r="AP513" s="7"/>
      <c r="AQ513" s="8"/>
      <c r="AR513" s="9" t="n">
        <f aca="false">IFERROR(VLOOKUP($X513,Lotes!$A:$E,5,FALSE())*$U513,"")</f>
        <v>0</v>
      </c>
      <c r="AS513" s="9" t="n">
        <f aca="false">IF($L513="","",$L513*2.6)</f>
        <v>0</v>
      </c>
      <c r="AT513" s="9"/>
      <c r="AU513" s="9"/>
      <c r="AV513" s="9"/>
      <c r="AW513" s="9"/>
      <c r="AX513" s="7"/>
      <c r="AY513" s="7"/>
      <c r="AZ513" s="7"/>
      <c r="BA513" s="7" t="s">
        <v>3324</v>
      </c>
      <c r="BB513" s="7" t="s">
        <v>3320</v>
      </c>
      <c r="BC513" s="11" t="s">
        <v>3325</v>
      </c>
      <c r="BD513" s="7" t="s">
        <v>2052</v>
      </c>
      <c r="BE513" s="11"/>
    </row>
    <row r="514" customFormat="false" ht="15" hidden="false" customHeight="false" outlineLevel="0" collapsed="false">
      <c r="A514" s="6" t="n">
        <v>524</v>
      </c>
      <c r="B514" s="7"/>
      <c r="C514" s="7" t="s">
        <v>3326</v>
      </c>
      <c r="D514" s="8"/>
      <c r="E514" s="7"/>
      <c r="F514" s="7"/>
      <c r="G514" s="6"/>
      <c r="H514" s="7"/>
      <c r="I514" s="7"/>
      <c r="J514" s="7"/>
      <c r="K514" s="7" t="s">
        <v>2926</v>
      </c>
      <c r="L514" s="9" t="n">
        <v>0</v>
      </c>
      <c r="M514" s="9"/>
      <c r="N514" s="9"/>
      <c r="O514" s="7"/>
      <c r="P514" s="7"/>
      <c r="Q514" s="7" t="s">
        <v>155</v>
      </c>
      <c r="R514" s="7" t="s">
        <v>3327</v>
      </c>
      <c r="S514" s="7"/>
      <c r="T514" s="7"/>
      <c r="U514" s="10" t="n">
        <v>0</v>
      </c>
      <c r="V514" s="7"/>
      <c r="W514" s="7"/>
      <c r="X514" s="7" t="s">
        <v>2951</v>
      </c>
      <c r="Y514" s="12" t="b">
        <f aca="false">FALSE()</f>
        <v>0</v>
      </c>
      <c r="Z514" s="7"/>
      <c r="AA514" s="7"/>
      <c r="AB514" s="8"/>
      <c r="AC514" s="6"/>
      <c r="AD514" s="6"/>
      <c r="AE514" s="6"/>
      <c r="AF514" s="7"/>
      <c r="AG514" s="7"/>
      <c r="AH514" s="7"/>
      <c r="AI514" s="7"/>
      <c r="AJ514" s="7"/>
      <c r="AK514" s="7"/>
      <c r="AL514" s="7" t="s">
        <v>3328</v>
      </c>
      <c r="AM514" s="7"/>
      <c r="AN514" s="7"/>
      <c r="AO514" s="7"/>
      <c r="AP514" s="7"/>
      <c r="AQ514" s="8"/>
      <c r="AR514" s="9" t="n">
        <f aca="false">IFERROR(VLOOKUP($X514,Lotes!$A:$E,5,FALSE())*$U514,"")</f>
        <v>0</v>
      </c>
      <c r="AS514" s="9" t="n">
        <f aca="false">IF($L514="","",$L514*2.6)</f>
        <v>0</v>
      </c>
      <c r="AT514" s="9"/>
      <c r="AU514" s="9"/>
      <c r="AV514" s="9"/>
      <c r="AW514" s="9"/>
      <c r="AX514" s="7"/>
      <c r="AY514" s="7"/>
      <c r="AZ514" s="7"/>
      <c r="BA514" s="7" t="s">
        <v>3329</v>
      </c>
      <c r="BB514" s="7" t="s">
        <v>3330</v>
      </c>
      <c r="BC514" s="11" t="s">
        <v>3331</v>
      </c>
      <c r="BD514" s="7" t="s">
        <v>2052</v>
      </c>
      <c r="BE514" s="11"/>
    </row>
  </sheetData>
  <autoFilter ref="A1:BE514"/>
  <dataValidations count="21">
    <dataValidation allowBlank="true" errorStyle="stop" operator="greaterThanOrEqual" showDropDown="false" showErrorMessage="false" showInputMessage="false" sqref="D2:D514" type="decimal">
      <formula1>0</formula1>
      <formula2>0</formula2>
    </dataValidation>
    <dataValidation allowBlank="true" errorStyle="stop" operator="between" showDropDown="false" showErrorMessage="false" showInputMessage="false" sqref="E2:E514" type="list">
      <formula1>Listas!$A$2:$A$20</formula1>
      <formula2>0</formula2>
    </dataValidation>
    <dataValidation allowBlank="true" errorStyle="stop" operator="between" showDropDown="false" showErrorMessage="false" showInputMessage="false" sqref="F2:F514" type="list">
      <formula1>Listas!$B$2:$B$24</formula1>
      <formula2>0</formula2>
    </dataValidation>
    <dataValidation allowBlank="true" errorStyle="stop" operator="between" showDropDown="false" showErrorMessage="false" showInputMessage="false" sqref="H2:H514" type="list">
      <formula1>Listas!$C$2:$C$40</formula1>
      <formula2>0</formula2>
    </dataValidation>
    <dataValidation allowBlank="true" errorStyle="stop" operator="between" showDropDown="false" showErrorMessage="false" showInputMessage="false" sqref="I2:I514" type="list">
      <formula1>Listas!$D$2:$D$3</formula1>
      <formula2>0</formula2>
    </dataValidation>
    <dataValidation allowBlank="true" errorStyle="stop" operator="between" showDropDown="false" showErrorMessage="false" showInputMessage="false" sqref="K2:K514" type="list">
      <formula1>Listas!$E$2:$E$26</formula1>
      <formula2>0</formula2>
    </dataValidation>
    <dataValidation allowBlank="true" errorStyle="stop" operator="between" showDropDown="false" showErrorMessage="false" showInputMessage="false" sqref="O2:O514" type="list">
      <formula1>Listas!$F$2:$F$10</formula1>
      <formula2>0</formula2>
    </dataValidation>
    <dataValidation allowBlank="true" errorStyle="stop" operator="between" showDropDown="false" showErrorMessage="false" showInputMessage="false" sqref="Q2:Q514" type="list">
      <formula1>Listas!$G$2:$G$10</formula1>
      <formula2>0</formula2>
    </dataValidation>
    <dataValidation allowBlank="true" errorStyle="stop" operator="between" showDropDown="false" showErrorMessage="false" showInputMessage="false" sqref="S2:S514" type="list">
      <formula1>Listas!$H$2:$H$18</formula1>
      <formula2>0</formula2>
    </dataValidation>
    <dataValidation allowBlank="true" errorStyle="stop" operator="between" showDropDown="false" showErrorMessage="false" showInputMessage="false" sqref="T2:T514" type="list">
      <formula1>Listas!$I$2:$I$5</formula1>
      <formula2>0</formula2>
    </dataValidation>
    <dataValidation allowBlank="true" errorStyle="stop" operator="between" showDropDown="false" showErrorMessage="false" showInputMessage="false" sqref="Y2:Y514" type="list">
      <formula1>Listas!$T$2:$T$5</formula1>
      <formula2>0</formula2>
    </dataValidation>
    <dataValidation allowBlank="true" errorStyle="stop" operator="between" showDropDown="false" showErrorMessage="false" showInputMessage="false" sqref="Z2:Z514" type="list">
      <formula1>Listas!$J$2:$J$16</formula1>
      <formula2>0</formula2>
    </dataValidation>
    <dataValidation allowBlank="true" errorStyle="stop" operator="between" showDropDown="false" showErrorMessage="false" showInputMessage="false" sqref="AD2:AD514" type="whole">
      <formula1>1</formula1>
      <formula2>6</formula2>
    </dataValidation>
    <dataValidation allowBlank="true" errorStyle="stop" operator="between" showDropDown="false" showErrorMessage="false" showInputMessage="false" sqref="AE2:AE514" type="whole">
      <formula1>1</formula1>
      <formula2>6</formula2>
    </dataValidation>
    <dataValidation allowBlank="true" errorStyle="stop" operator="between" showDropDown="false" showErrorMessage="false" showInputMessage="false" sqref="AF2:AF514" type="list">
      <formula1>Listas!$K$2:$K$12</formula1>
      <formula2>0</formula2>
    </dataValidation>
    <dataValidation allowBlank="true" errorStyle="stop" operator="between" showDropDown="false" showErrorMessage="false" showInputMessage="false" sqref="AG2:AG514" type="list">
      <formula1>Listas!$L$2:$L$12</formula1>
      <formula2>0</formula2>
    </dataValidation>
    <dataValidation allowBlank="true" errorStyle="stop" operator="between" showDropDown="false" showErrorMessage="false" showInputMessage="false" sqref="AH2:AH514" type="list">
      <formula1>Listas!$M$2:$M$17</formula1>
      <formula2>0</formula2>
    </dataValidation>
    <dataValidation allowBlank="true" errorStyle="stop" operator="between" showDropDown="false" showErrorMessage="false" showInputMessage="false" sqref="AI2:AI514" type="list">
      <formula1>Listas!$N$2:$N$14</formula1>
      <formula2>0</formula2>
    </dataValidation>
    <dataValidation allowBlank="true" errorStyle="stop" operator="between" showDropDown="false" showErrorMessage="false" showInputMessage="false" sqref="AN2:AN514" type="list">
      <formula1>Listas!$Q$2:$Q$6</formula1>
      <formula2>0</formula2>
    </dataValidation>
    <dataValidation allowBlank="true" errorStyle="stop" operator="between" showDropDown="false" showErrorMessage="false" showInputMessage="false" sqref="AO2:AO514" type="list">
      <formula1>Listas!$R$2:$R$8</formula1>
      <formula2>0</formula2>
    </dataValidation>
    <dataValidation allowBlank="true" errorStyle="stop" operator="between" showDropDown="false" showErrorMessage="false" showInputMessage="false" sqref="AP2:AP514" type="list">
      <formula1>Listas!$S$2:$S$8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6E52"/>
    <pageSetUpPr fitToPage="false"/>
  </sheetPr>
  <dimension ref="A1:U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21"/>
    <col collapsed="false" customWidth="true" hidden="false" outlineLevel="0" max="5" min="5" style="0" width="17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17"/>
    <col collapsed="false" customWidth="true" hidden="false" outlineLevel="0" max="12" min="12" style="0" width="14"/>
    <col collapsed="false" customWidth="true" hidden="false" outlineLevel="0" max="14" min="13" style="0" width="11"/>
    <col collapsed="false" customWidth="true" hidden="false" outlineLevel="0" max="15" min="15" style="0" width="16"/>
    <col collapsed="false" customWidth="true" hidden="false" outlineLevel="0" max="16" min="16" style="0" width="15"/>
    <col collapsed="false" customWidth="true" hidden="false" outlineLevel="0" max="18" min="17" style="0" width="11"/>
    <col collapsed="false" customWidth="true" hidden="false" outlineLevel="0" max="19" min="19" style="0" width="18"/>
    <col collapsed="false" customWidth="true" hidden="false" outlineLevel="0" max="20" min="20" style="0" width="15"/>
    <col collapsed="false" customWidth="true" hidden="false" outlineLevel="0" max="21" min="21" style="0" width="19"/>
  </cols>
  <sheetData>
    <row r="1" customFormat="false" ht="30" hidden="false" customHeight="true" outlineLevel="0" collapsed="false">
      <c r="A1" s="4" t="s">
        <v>49</v>
      </c>
      <c r="B1" s="4" t="s">
        <v>3332</v>
      </c>
      <c r="C1" s="4" t="s">
        <v>3333</v>
      </c>
      <c r="D1" s="4" t="s">
        <v>3334</v>
      </c>
      <c r="E1" s="4" t="s">
        <v>3335</v>
      </c>
      <c r="F1" s="4" t="s">
        <v>3336</v>
      </c>
      <c r="G1" s="4" t="s">
        <v>3337</v>
      </c>
      <c r="H1" s="4" t="s">
        <v>3338</v>
      </c>
      <c r="I1" s="4" t="s">
        <v>3339</v>
      </c>
      <c r="J1" s="4" t="s">
        <v>3340</v>
      </c>
      <c r="K1" s="4" t="s">
        <v>3341</v>
      </c>
      <c r="L1" s="4" t="s">
        <v>3342</v>
      </c>
      <c r="M1" s="4" t="s">
        <v>3343</v>
      </c>
      <c r="N1" s="4" t="s">
        <v>3344</v>
      </c>
      <c r="O1" s="4" t="s">
        <v>3345</v>
      </c>
      <c r="P1" s="4" t="s">
        <v>3346</v>
      </c>
      <c r="Q1" s="4" t="s">
        <v>3347</v>
      </c>
      <c r="R1" s="4" t="s">
        <v>3348</v>
      </c>
      <c r="S1" s="4" t="s">
        <v>3349</v>
      </c>
      <c r="T1" s="4" t="s">
        <v>3350</v>
      </c>
      <c r="U1" s="4" t="s">
        <v>3351</v>
      </c>
    </row>
    <row r="2" customFormat="false" ht="15" hidden="false" customHeight="false" outlineLevel="0" collapsed="false">
      <c r="A2" s="7" t="s">
        <v>3352</v>
      </c>
      <c r="B2" s="7" t="s">
        <v>3353</v>
      </c>
      <c r="C2" s="7" t="s">
        <v>3354</v>
      </c>
      <c r="D2" s="8"/>
      <c r="E2" s="9" t="n">
        <v>150000</v>
      </c>
      <c r="F2" s="6" t="n">
        <v>1</v>
      </c>
      <c r="G2" s="7" t="s">
        <v>3355</v>
      </c>
      <c r="H2" s="7" t="s">
        <v>3356</v>
      </c>
      <c r="I2" s="7"/>
      <c r="J2" s="6"/>
      <c r="K2" s="7"/>
      <c r="L2" s="7"/>
      <c r="M2" s="7"/>
      <c r="N2" s="7" t="s">
        <v>3357</v>
      </c>
      <c r="O2" s="7"/>
      <c r="P2" s="7"/>
      <c r="Q2" s="7"/>
      <c r="R2" s="7" t="s">
        <v>3358</v>
      </c>
      <c r="S2" s="7" t="s">
        <v>3359</v>
      </c>
      <c r="T2" s="7" t="s">
        <v>3360</v>
      </c>
      <c r="U2" s="7"/>
    </row>
    <row r="3" customFormat="false" ht="15" hidden="false" customHeight="false" outlineLevel="0" collapsed="false">
      <c r="A3" s="7" t="s">
        <v>3361</v>
      </c>
      <c r="B3" s="7" t="s">
        <v>3353</v>
      </c>
      <c r="C3" s="7" t="s">
        <v>3362</v>
      </c>
      <c r="D3" s="8" t="n">
        <v>37.3</v>
      </c>
      <c r="E3" s="9" t="n">
        <v>4900000</v>
      </c>
      <c r="F3" s="6" t="n">
        <v>190</v>
      </c>
      <c r="G3" s="7" t="s">
        <v>3355</v>
      </c>
      <c r="H3" s="7" t="s">
        <v>3356</v>
      </c>
      <c r="I3" s="7"/>
      <c r="J3" s="6"/>
      <c r="K3" s="7"/>
      <c r="L3" s="7"/>
      <c r="M3" s="7" t="s">
        <v>3363</v>
      </c>
      <c r="N3" s="7" t="s">
        <v>3364</v>
      </c>
      <c r="O3" s="7"/>
      <c r="P3" s="7"/>
      <c r="Q3" s="7"/>
      <c r="R3" s="7"/>
      <c r="S3" s="7"/>
      <c r="T3" s="7"/>
      <c r="U3" s="7"/>
    </row>
    <row r="4" customFormat="false" ht="15" hidden="false" customHeight="false" outlineLevel="0" collapsed="false">
      <c r="A4" s="7" t="s">
        <v>2071</v>
      </c>
      <c r="B4" s="7" t="s">
        <v>3353</v>
      </c>
      <c r="C4" s="7" t="s">
        <v>3362</v>
      </c>
      <c r="D4" s="8" t="n">
        <v>9.63</v>
      </c>
      <c r="E4" s="9" t="n">
        <v>1200000</v>
      </c>
      <c r="F4" s="6" t="n">
        <v>2</v>
      </c>
      <c r="G4" s="7" t="s">
        <v>3365</v>
      </c>
      <c r="H4" s="7" t="s">
        <v>3356</v>
      </c>
      <c r="I4" s="7" t="s">
        <v>3366</v>
      </c>
      <c r="J4" s="6" t="n">
        <v>1</v>
      </c>
      <c r="K4" s="7" t="s">
        <v>3367</v>
      </c>
      <c r="L4" s="7" t="s">
        <v>3367</v>
      </c>
      <c r="M4" s="7" t="s">
        <v>3368</v>
      </c>
      <c r="N4" s="7" t="s">
        <v>3369</v>
      </c>
      <c r="O4" s="7"/>
      <c r="P4" s="7"/>
      <c r="Q4" s="7"/>
      <c r="R4" s="7"/>
      <c r="S4" s="7"/>
      <c r="T4" s="7"/>
      <c r="U4" s="7"/>
    </row>
    <row r="5" customFormat="false" ht="15" hidden="false" customHeight="false" outlineLevel="0" collapsed="false">
      <c r="A5" s="7" t="s">
        <v>2089</v>
      </c>
      <c r="B5" s="7" t="s">
        <v>3353</v>
      </c>
      <c r="C5" s="7" t="s">
        <v>3362</v>
      </c>
      <c r="D5" s="8" t="n">
        <v>71</v>
      </c>
      <c r="E5" s="9" t="n">
        <v>650000</v>
      </c>
      <c r="F5" s="6" t="n">
        <v>5</v>
      </c>
      <c r="G5" s="7" t="s">
        <v>3355</v>
      </c>
      <c r="H5" s="7" t="s">
        <v>3356</v>
      </c>
      <c r="I5" s="7"/>
      <c r="J5" s="6"/>
      <c r="K5" s="7"/>
      <c r="L5" s="7"/>
      <c r="M5" s="7" t="s">
        <v>3370</v>
      </c>
      <c r="N5" s="7" t="s">
        <v>3369</v>
      </c>
      <c r="O5" s="7" t="s">
        <v>3371</v>
      </c>
      <c r="P5" s="7" t="s">
        <v>3372</v>
      </c>
      <c r="Q5" s="7" t="s">
        <v>2090</v>
      </c>
      <c r="R5" s="7" t="s">
        <v>3373</v>
      </c>
      <c r="S5" s="7" t="s">
        <v>3374</v>
      </c>
      <c r="T5" s="7" t="s">
        <v>3360</v>
      </c>
      <c r="U5" s="7"/>
    </row>
    <row r="6" customFormat="false" ht="15" hidden="false" customHeight="false" outlineLevel="0" collapsed="false">
      <c r="A6" s="7" t="s">
        <v>2128</v>
      </c>
      <c r="B6" s="7" t="s">
        <v>3353</v>
      </c>
      <c r="C6" s="7" t="s">
        <v>3362</v>
      </c>
      <c r="D6" s="8" t="n">
        <v>331.1</v>
      </c>
      <c r="E6" s="9" t="n">
        <v>500000</v>
      </c>
      <c r="F6" s="6" t="n">
        <v>7</v>
      </c>
      <c r="G6" s="7" t="s">
        <v>3355</v>
      </c>
      <c r="H6" s="7" t="s">
        <v>3356</v>
      </c>
      <c r="I6" s="7"/>
      <c r="J6" s="6"/>
      <c r="K6" s="7"/>
      <c r="L6" s="7"/>
      <c r="M6" s="7" t="s">
        <v>3375</v>
      </c>
      <c r="N6" s="7" t="s">
        <v>3369</v>
      </c>
      <c r="O6" s="7" t="s">
        <v>3376</v>
      </c>
      <c r="P6" s="7" t="s">
        <v>2126</v>
      </c>
      <c r="Q6" s="7" t="s">
        <v>2090</v>
      </c>
      <c r="R6" s="7" t="s">
        <v>3373</v>
      </c>
      <c r="S6" s="7" t="s">
        <v>3374</v>
      </c>
      <c r="T6" s="7" t="s">
        <v>3360</v>
      </c>
      <c r="U6" s="7"/>
    </row>
    <row r="7" customFormat="false" ht="15" hidden="false" customHeight="false" outlineLevel="0" collapsed="false">
      <c r="A7" s="7" t="s">
        <v>2177</v>
      </c>
      <c r="B7" s="7" t="s">
        <v>3353</v>
      </c>
      <c r="C7" s="7" t="s">
        <v>3362</v>
      </c>
      <c r="D7" s="8" t="n">
        <v>300</v>
      </c>
      <c r="E7" s="9" t="n">
        <v>500000</v>
      </c>
      <c r="F7" s="6" t="n">
        <v>2</v>
      </c>
      <c r="G7" s="7" t="s">
        <v>3355</v>
      </c>
      <c r="H7" s="7" t="s">
        <v>3356</v>
      </c>
      <c r="I7" s="7"/>
      <c r="J7" s="6"/>
      <c r="K7" s="7"/>
      <c r="L7" s="7"/>
      <c r="M7" s="7"/>
      <c r="N7" s="7" t="s">
        <v>3369</v>
      </c>
      <c r="O7" s="7" t="s">
        <v>3119</v>
      </c>
      <c r="P7" s="7" t="s">
        <v>2126</v>
      </c>
      <c r="Q7" s="7" t="s">
        <v>2090</v>
      </c>
      <c r="R7" s="7" t="s">
        <v>3373</v>
      </c>
      <c r="S7" s="7" t="s">
        <v>3374</v>
      </c>
      <c r="T7" s="7" t="s">
        <v>3360</v>
      </c>
      <c r="U7" s="7"/>
    </row>
    <row r="8" customFormat="false" ht="15" hidden="false" customHeight="false" outlineLevel="0" collapsed="false">
      <c r="A8" s="7" t="s">
        <v>2196</v>
      </c>
      <c r="B8" s="7" t="s">
        <v>3353</v>
      </c>
      <c r="C8" s="7" t="s">
        <v>3362</v>
      </c>
      <c r="D8" s="8"/>
      <c r="E8" s="9" t="n">
        <v>1300000</v>
      </c>
      <c r="F8" s="6" t="n">
        <v>6</v>
      </c>
      <c r="G8" s="7" t="s">
        <v>3355</v>
      </c>
      <c r="H8" s="7" t="s">
        <v>3356</v>
      </c>
      <c r="I8" s="7"/>
      <c r="J8" s="6"/>
      <c r="K8" s="7"/>
      <c r="L8" s="7"/>
      <c r="M8" s="7" t="s">
        <v>3377</v>
      </c>
      <c r="N8" s="7" t="s">
        <v>3364</v>
      </c>
      <c r="O8" s="7" t="s">
        <v>2192</v>
      </c>
      <c r="P8" s="7" t="s">
        <v>3372</v>
      </c>
      <c r="Q8" s="7" t="s">
        <v>2090</v>
      </c>
      <c r="R8" s="7" t="s">
        <v>3373</v>
      </c>
      <c r="S8" s="7" t="s">
        <v>3374</v>
      </c>
      <c r="T8" s="7" t="s">
        <v>3360</v>
      </c>
      <c r="U8" s="7"/>
    </row>
    <row r="9" customFormat="false" ht="15" hidden="false" customHeight="false" outlineLevel="0" collapsed="false">
      <c r="A9" s="7" t="s">
        <v>2205</v>
      </c>
      <c r="B9" s="7" t="s">
        <v>3353</v>
      </c>
      <c r="C9" s="7" t="s">
        <v>3362</v>
      </c>
      <c r="D9" s="8" t="n">
        <v>40.4</v>
      </c>
      <c r="E9" s="9" t="n">
        <v>1010000</v>
      </c>
      <c r="F9" s="6" t="n">
        <v>6</v>
      </c>
      <c r="G9" s="7" t="s">
        <v>3355</v>
      </c>
      <c r="H9" s="7" t="s">
        <v>3356</v>
      </c>
      <c r="I9" s="7"/>
      <c r="J9" s="6"/>
      <c r="K9" s="7"/>
      <c r="L9" s="7"/>
      <c r="M9" s="7" t="s">
        <v>3378</v>
      </c>
      <c r="N9" s="7" t="s">
        <v>3369</v>
      </c>
      <c r="O9" s="7" t="s">
        <v>3379</v>
      </c>
      <c r="P9" s="7" t="s">
        <v>3380</v>
      </c>
      <c r="Q9" s="7" t="s">
        <v>2090</v>
      </c>
      <c r="R9" s="7" t="s">
        <v>3373</v>
      </c>
      <c r="S9" s="7" t="s">
        <v>3374</v>
      </c>
      <c r="T9" s="7" t="s">
        <v>3360</v>
      </c>
      <c r="U9" s="7"/>
    </row>
    <row r="10" customFormat="false" ht="15" hidden="false" customHeight="false" outlineLevel="0" collapsed="false">
      <c r="A10" s="7" t="s">
        <v>2249</v>
      </c>
      <c r="B10" s="7" t="s">
        <v>3353</v>
      </c>
      <c r="C10" s="7" t="s">
        <v>3354</v>
      </c>
      <c r="D10" s="8"/>
      <c r="E10" s="9" t="n">
        <v>5250000</v>
      </c>
      <c r="F10" s="6" t="n">
        <v>4</v>
      </c>
      <c r="G10" s="7" t="s">
        <v>3355</v>
      </c>
      <c r="H10" s="7" t="s">
        <v>3356</v>
      </c>
      <c r="I10" s="7"/>
      <c r="J10" s="6"/>
      <c r="K10" s="7"/>
      <c r="L10" s="7"/>
      <c r="M10" s="7" t="s">
        <v>3381</v>
      </c>
      <c r="N10" s="7" t="s">
        <v>3369</v>
      </c>
      <c r="O10" s="7" t="s">
        <v>3382</v>
      </c>
      <c r="P10" s="7" t="s">
        <v>3372</v>
      </c>
      <c r="Q10" s="7" t="s">
        <v>2250</v>
      </c>
      <c r="R10" s="7" t="s">
        <v>3373</v>
      </c>
      <c r="S10" s="7" t="s">
        <v>3374</v>
      </c>
      <c r="T10" s="7" t="s">
        <v>3360</v>
      </c>
      <c r="U10" s="7"/>
    </row>
    <row r="11" customFormat="false" ht="15" hidden="false" customHeight="false" outlineLevel="0" collapsed="false">
      <c r="A11" s="7" t="s">
        <v>2280</v>
      </c>
      <c r="B11" s="7" t="s">
        <v>3353</v>
      </c>
      <c r="C11" s="7" t="s">
        <v>3354</v>
      </c>
      <c r="D11" s="8" t="n">
        <v>1.43</v>
      </c>
      <c r="E11" s="9" t="n">
        <v>3400000</v>
      </c>
      <c r="F11" s="6" t="n">
        <v>1</v>
      </c>
      <c r="G11" s="7" t="s">
        <v>3365</v>
      </c>
      <c r="H11" s="7"/>
      <c r="I11" s="7" t="s">
        <v>3383</v>
      </c>
      <c r="J11" s="6" t="n">
        <v>1</v>
      </c>
      <c r="K11" s="7"/>
      <c r="L11" s="7"/>
      <c r="M11" s="7"/>
      <c r="N11" s="7" t="s">
        <v>3369</v>
      </c>
      <c r="O11" s="7" t="s">
        <v>3384</v>
      </c>
      <c r="P11" s="7" t="s">
        <v>3372</v>
      </c>
      <c r="Q11" s="7" t="s">
        <v>2417</v>
      </c>
      <c r="R11" s="7" t="s">
        <v>3373</v>
      </c>
      <c r="S11" s="7" t="s">
        <v>3374</v>
      </c>
      <c r="T11" s="7" t="s">
        <v>3360</v>
      </c>
      <c r="U11" s="7"/>
    </row>
    <row r="12" customFormat="false" ht="15" hidden="false" customHeight="false" outlineLevel="0" collapsed="false">
      <c r="A12" s="7" t="s">
        <v>2288</v>
      </c>
      <c r="B12" s="7" t="s">
        <v>3353</v>
      </c>
      <c r="C12" s="7" t="s">
        <v>3354</v>
      </c>
      <c r="D12" s="8"/>
      <c r="E12" s="9" t="n">
        <v>2010000</v>
      </c>
      <c r="F12" s="6" t="n">
        <v>6</v>
      </c>
      <c r="G12" s="7" t="s">
        <v>3365</v>
      </c>
      <c r="H12" s="7"/>
      <c r="I12" s="7" t="s">
        <v>3385</v>
      </c>
      <c r="J12" s="6" t="n">
        <v>1</v>
      </c>
      <c r="K12" s="7"/>
      <c r="L12" s="7"/>
      <c r="M12" s="7" t="s">
        <v>3386</v>
      </c>
      <c r="N12" s="7" t="s">
        <v>3369</v>
      </c>
      <c r="O12" s="7" t="s">
        <v>3387</v>
      </c>
      <c r="P12" s="7" t="s">
        <v>3372</v>
      </c>
      <c r="Q12" s="7" t="s">
        <v>2250</v>
      </c>
      <c r="R12" s="7" t="s">
        <v>3373</v>
      </c>
      <c r="S12" s="7" t="s">
        <v>3374</v>
      </c>
      <c r="T12" s="7" t="s">
        <v>3360</v>
      </c>
      <c r="U12" s="7"/>
    </row>
    <row r="13" customFormat="false" ht="15" hidden="false" customHeight="false" outlineLevel="0" collapsed="false">
      <c r="A13" s="7" t="s">
        <v>2303</v>
      </c>
      <c r="B13" s="7" t="s">
        <v>3353</v>
      </c>
      <c r="C13" s="7" t="s">
        <v>3354</v>
      </c>
      <c r="D13" s="8" t="n">
        <v>5.17</v>
      </c>
      <c r="E13" s="9" t="n">
        <v>3100000</v>
      </c>
      <c r="F13" s="6" t="n">
        <v>3</v>
      </c>
      <c r="G13" s="7" t="s">
        <v>3355</v>
      </c>
      <c r="H13" s="7" t="s">
        <v>3356</v>
      </c>
      <c r="I13" s="7"/>
      <c r="J13" s="6"/>
      <c r="K13" s="7"/>
      <c r="L13" s="7"/>
      <c r="M13" s="7" t="s">
        <v>3388</v>
      </c>
      <c r="N13" s="7" t="s">
        <v>3369</v>
      </c>
      <c r="O13" s="7" t="s">
        <v>3389</v>
      </c>
      <c r="P13" s="7" t="s">
        <v>3372</v>
      </c>
      <c r="Q13" s="7" t="s">
        <v>2090</v>
      </c>
      <c r="R13" s="7" t="s">
        <v>3373</v>
      </c>
      <c r="S13" s="7" t="s">
        <v>3374</v>
      </c>
      <c r="T13" s="7" t="s">
        <v>3360</v>
      </c>
      <c r="U13" s="7"/>
    </row>
    <row r="14" customFormat="false" ht="15" hidden="false" customHeight="false" outlineLevel="0" collapsed="false">
      <c r="A14" s="7" t="s">
        <v>2334</v>
      </c>
      <c r="B14" s="7" t="s">
        <v>3353</v>
      </c>
      <c r="C14" s="7" t="s">
        <v>3354</v>
      </c>
      <c r="D14" s="8" t="n">
        <v>37.3</v>
      </c>
      <c r="E14" s="9" t="n">
        <v>4900000</v>
      </c>
      <c r="F14" s="6" t="n">
        <v>8</v>
      </c>
      <c r="G14" s="7" t="s">
        <v>3355</v>
      </c>
      <c r="H14" s="7" t="s">
        <v>3356</v>
      </c>
      <c r="I14" s="7"/>
      <c r="J14" s="6"/>
      <c r="K14" s="7"/>
      <c r="L14" s="7"/>
      <c r="M14" s="7"/>
      <c r="N14" s="7" t="s">
        <v>3369</v>
      </c>
      <c r="O14" s="7" t="s">
        <v>3390</v>
      </c>
      <c r="P14" s="7" t="s">
        <v>3372</v>
      </c>
      <c r="Q14" s="7" t="s">
        <v>2090</v>
      </c>
      <c r="R14" s="7" t="s">
        <v>3373</v>
      </c>
      <c r="S14" s="7" t="s">
        <v>3374</v>
      </c>
      <c r="T14" s="7" t="s">
        <v>3360</v>
      </c>
      <c r="U14" s="7"/>
    </row>
    <row r="15" customFormat="false" ht="15" hidden="false" customHeight="false" outlineLevel="0" collapsed="false">
      <c r="A15" s="7" t="s">
        <v>2326</v>
      </c>
      <c r="B15" s="7" t="s">
        <v>3353</v>
      </c>
      <c r="C15" s="7" t="s">
        <v>3354</v>
      </c>
      <c r="D15" s="8" t="n">
        <v>79</v>
      </c>
      <c r="E15" s="9" t="n">
        <v>500000</v>
      </c>
      <c r="F15" s="6" t="n">
        <v>1</v>
      </c>
      <c r="G15" s="7" t="s">
        <v>3355</v>
      </c>
      <c r="H15" s="7" t="s">
        <v>3356</v>
      </c>
      <c r="I15" s="7"/>
      <c r="J15" s="6"/>
      <c r="K15" s="7"/>
      <c r="L15" s="7"/>
      <c r="M15" s="7"/>
      <c r="N15" s="7" t="s">
        <v>3369</v>
      </c>
      <c r="O15" s="7" t="s">
        <v>3391</v>
      </c>
      <c r="P15" s="7" t="s">
        <v>3372</v>
      </c>
      <c r="Q15" s="7" t="s">
        <v>2090</v>
      </c>
      <c r="R15" s="7" t="s">
        <v>3373</v>
      </c>
      <c r="S15" s="7" t="s">
        <v>3374</v>
      </c>
      <c r="T15" s="7" t="s">
        <v>3360</v>
      </c>
      <c r="U15" s="7"/>
    </row>
    <row r="16" customFormat="false" ht="15" hidden="false" customHeight="false" outlineLevel="0" collapsed="false">
      <c r="A16" s="7" t="s">
        <v>2385</v>
      </c>
      <c r="B16" s="7" t="s">
        <v>3353</v>
      </c>
      <c r="C16" s="7" t="s">
        <v>3354</v>
      </c>
      <c r="D16" s="8"/>
      <c r="E16" s="9" t="n">
        <v>575000</v>
      </c>
      <c r="F16" s="6" t="n">
        <v>1</v>
      </c>
      <c r="G16" s="7" t="s">
        <v>3355</v>
      </c>
      <c r="H16" s="7" t="s">
        <v>3356</v>
      </c>
      <c r="I16" s="7"/>
      <c r="J16" s="6"/>
      <c r="K16" s="7"/>
      <c r="L16" s="7"/>
      <c r="M16" s="7" t="s">
        <v>3392</v>
      </c>
      <c r="N16" s="7" t="s">
        <v>3369</v>
      </c>
      <c r="O16" s="7" t="s">
        <v>3393</v>
      </c>
      <c r="P16" s="7" t="s">
        <v>2388</v>
      </c>
      <c r="Q16" s="7"/>
      <c r="R16" s="7" t="s">
        <v>3373</v>
      </c>
      <c r="S16" s="7" t="s">
        <v>3374</v>
      </c>
      <c r="T16" s="7" t="s">
        <v>3360</v>
      </c>
      <c r="U16" s="7"/>
    </row>
    <row r="17" customFormat="false" ht="15" hidden="false" customHeight="false" outlineLevel="0" collapsed="false">
      <c r="A17" s="7" t="s">
        <v>2396</v>
      </c>
      <c r="B17" s="7" t="s">
        <v>3353</v>
      </c>
      <c r="C17" s="7" t="s">
        <v>3354</v>
      </c>
      <c r="D17" s="8" t="n">
        <v>0.86</v>
      </c>
      <c r="E17" s="9" t="n">
        <v>900000</v>
      </c>
      <c r="F17" s="6" t="n">
        <v>9</v>
      </c>
      <c r="G17" s="7" t="s">
        <v>3365</v>
      </c>
      <c r="H17" s="7"/>
      <c r="I17" s="7" t="s">
        <v>3366</v>
      </c>
      <c r="J17" s="6" t="n">
        <v>1</v>
      </c>
      <c r="K17" s="7"/>
      <c r="L17" s="7"/>
      <c r="M17" s="7" t="s">
        <v>3394</v>
      </c>
      <c r="N17" s="7" t="s">
        <v>3395</v>
      </c>
      <c r="O17" s="7" t="s">
        <v>3396</v>
      </c>
      <c r="P17" s="7" t="s">
        <v>3372</v>
      </c>
      <c r="Q17" s="7" t="s">
        <v>2090</v>
      </c>
      <c r="R17" s="7" t="s">
        <v>3373</v>
      </c>
      <c r="S17" s="7" t="s">
        <v>3374</v>
      </c>
      <c r="T17" s="7" t="s">
        <v>3360</v>
      </c>
      <c r="U17" s="7"/>
    </row>
    <row r="18" customFormat="false" ht="15" hidden="false" customHeight="false" outlineLevel="0" collapsed="false">
      <c r="A18" s="7" t="s">
        <v>2405</v>
      </c>
      <c r="B18" s="7" t="s">
        <v>3353</v>
      </c>
      <c r="C18" s="7" t="s">
        <v>3354</v>
      </c>
      <c r="D18" s="8"/>
      <c r="E18" s="9" t="n">
        <v>450000</v>
      </c>
      <c r="F18" s="6" t="n">
        <v>1</v>
      </c>
      <c r="G18" s="7" t="s">
        <v>3365</v>
      </c>
      <c r="H18" s="7"/>
      <c r="I18" s="7" t="s">
        <v>3397</v>
      </c>
      <c r="J18" s="6" t="n">
        <v>11</v>
      </c>
      <c r="K18" s="7"/>
      <c r="L18" s="7"/>
      <c r="M18" s="7" t="s">
        <v>3398</v>
      </c>
      <c r="N18" s="7" t="s">
        <v>3369</v>
      </c>
      <c r="O18" s="7" t="s">
        <v>3399</v>
      </c>
      <c r="P18" s="7" t="s">
        <v>2126</v>
      </c>
      <c r="Q18" s="7" t="s">
        <v>2090</v>
      </c>
      <c r="R18" s="7" t="s">
        <v>3373</v>
      </c>
      <c r="S18" s="7" t="s">
        <v>3374</v>
      </c>
      <c r="T18" s="7" t="s">
        <v>3360</v>
      </c>
      <c r="U18" s="7"/>
    </row>
    <row r="19" customFormat="false" ht="15" hidden="false" customHeight="false" outlineLevel="0" collapsed="false">
      <c r="A19" s="7" t="s">
        <v>3400</v>
      </c>
      <c r="B19" s="7" t="s">
        <v>3353</v>
      </c>
      <c r="C19" s="7" t="s">
        <v>3354</v>
      </c>
      <c r="D19" s="8" t="n">
        <v>47.47</v>
      </c>
      <c r="E19" s="9" t="n">
        <v>378000000</v>
      </c>
      <c r="F19" s="6" t="n">
        <v>18</v>
      </c>
      <c r="G19" s="7" t="s">
        <v>3355</v>
      </c>
      <c r="H19" s="7" t="s">
        <v>3356</v>
      </c>
      <c r="I19" s="7"/>
      <c r="J19" s="6"/>
      <c r="K19" s="7"/>
      <c r="L19" s="7"/>
      <c r="M19" s="7" t="s">
        <v>3401</v>
      </c>
      <c r="N19" s="7" t="s">
        <v>3364</v>
      </c>
      <c r="O19" s="7" t="s">
        <v>3402</v>
      </c>
      <c r="P19" s="7" t="s">
        <v>3403</v>
      </c>
      <c r="Q19" s="7" t="s">
        <v>2250</v>
      </c>
      <c r="R19" s="7" t="s">
        <v>3373</v>
      </c>
      <c r="S19" s="7" t="s">
        <v>3374</v>
      </c>
      <c r="T19" s="7" t="s">
        <v>3360</v>
      </c>
      <c r="U19" s="7"/>
    </row>
    <row r="20" customFormat="false" ht="15" hidden="false" customHeight="false" outlineLevel="0" collapsed="false">
      <c r="A20" s="7" t="s">
        <v>2416</v>
      </c>
      <c r="B20" s="7" t="s">
        <v>3353</v>
      </c>
      <c r="C20" s="7" t="s">
        <v>3404</v>
      </c>
      <c r="D20" s="8" t="n">
        <v>1.43</v>
      </c>
      <c r="E20" s="9" t="n">
        <v>2717000</v>
      </c>
      <c r="F20" s="6" t="n">
        <v>12</v>
      </c>
      <c r="G20" s="7" t="s">
        <v>3365</v>
      </c>
      <c r="H20" s="7"/>
      <c r="I20" s="7" t="s">
        <v>3397</v>
      </c>
      <c r="J20" s="6" t="n">
        <v>1</v>
      </c>
      <c r="K20" s="7"/>
      <c r="L20" s="7"/>
      <c r="M20" s="7" t="s">
        <v>3405</v>
      </c>
      <c r="N20" s="7" t="s">
        <v>3369</v>
      </c>
      <c r="O20" s="7" t="s">
        <v>3406</v>
      </c>
      <c r="P20" s="7" t="s">
        <v>3407</v>
      </c>
      <c r="Q20" s="7" t="s">
        <v>2417</v>
      </c>
      <c r="R20" s="7" t="s">
        <v>3373</v>
      </c>
      <c r="S20" s="7" t="s">
        <v>3374</v>
      </c>
      <c r="T20" s="7" t="s">
        <v>3360</v>
      </c>
      <c r="U20" s="7"/>
    </row>
    <row r="21" customFormat="false" ht="15" hidden="false" customHeight="false" outlineLevel="0" collapsed="false">
      <c r="A21" s="7" t="s">
        <v>2502</v>
      </c>
      <c r="B21" s="7" t="s">
        <v>3353</v>
      </c>
      <c r="C21" s="7" t="s">
        <v>3404</v>
      </c>
      <c r="D21" s="8" t="n">
        <v>0.49</v>
      </c>
      <c r="E21" s="9" t="n">
        <v>600000</v>
      </c>
      <c r="F21" s="6" t="n">
        <v>3</v>
      </c>
      <c r="G21" s="7" t="s">
        <v>3355</v>
      </c>
      <c r="H21" s="7" t="s">
        <v>3356</v>
      </c>
      <c r="I21" s="7"/>
      <c r="J21" s="6"/>
      <c r="K21" s="7"/>
      <c r="L21" s="7"/>
      <c r="M21" s="7"/>
      <c r="N21" s="7" t="s">
        <v>3369</v>
      </c>
      <c r="O21" s="7" t="s">
        <v>3408</v>
      </c>
      <c r="P21" s="7" t="s">
        <v>3407</v>
      </c>
      <c r="Q21" s="7" t="s">
        <v>2417</v>
      </c>
      <c r="R21" s="7" t="s">
        <v>3373</v>
      </c>
      <c r="S21" s="7" t="s">
        <v>3374</v>
      </c>
      <c r="T21" s="7" t="s">
        <v>3360</v>
      </c>
      <c r="U21" s="7"/>
    </row>
    <row r="22" customFormat="false" ht="15" hidden="false" customHeight="false" outlineLevel="0" collapsed="false">
      <c r="A22" s="7" t="s">
        <v>2521</v>
      </c>
      <c r="B22" s="7" t="s">
        <v>3353</v>
      </c>
      <c r="C22" s="7" t="s">
        <v>3404</v>
      </c>
      <c r="D22" s="8" t="n">
        <v>0.22</v>
      </c>
      <c r="E22" s="9" t="n">
        <v>550000</v>
      </c>
      <c r="F22" s="6" t="n">
        <v>1</v>
      </c>
      <c r="G22" s="7" t="s">
        <v>3355</v>
      </c>
      <c r="H22" s="7" t="s">
        <v>3356</v>
      </c>
      <c r="I22" s="7"/>
      <c r="J22" s="6"/>
      <c r="K22" s="7"/>
      <c r="L22" s="7"/>
      <c r="M22" s="7" t="s">
        <v>3409</v>
      </c>
      <c r="N22" s="7" t="s">
        <v>3369</v>
      </c>
      <c r="O22" s="7" t="s">
        <v>2519</v>
      </c>
      <c r="P22" s="7" t="s">
        <v>3407</v>
      </c>
      <c r="Q22" s="7" t="s">
        <v>2417</v>
      </c>
      <c r="R22" s="7" t="s">
        <v>3373</v>
      </c>
      <c r="S22" s="7" t="s">
        <v>3374</v>
      </c>
      <c r="T22" s="7" t="s">
        <v>3360</v>
      </c>
      <c r="U22" s="7"/>
    </row>
    <row r="23" customFormat="false" ht="15" hidden="false" customHeight="false" outlineLevel="0" collapsed="false">
      <c r="A23" s="7" t="s">
        <v>2529</v>
      </c>
      <c r="B23" s="7" t="s">
        <v>3353</v>
      </c>
      <c r="C23" s="7" t="s">
        <v>3410</v>
      </c>
      <c r="D23" s="8" t="n">
        <v>0.8</v>
      </c>
      <c r="E23" s="9" t="n">
        <v>120000</v>
      </c>
      <c r="F23" s="6" t="n">
        <v>1</v>
      </c>
      <c r="G23" s="7" t="s">
        <v>3355</v>
      </c>
      <c r="H23" s="7" t="s">
        <v>3356</v>
      </c>
      <c r="I23" s="7"/>
      <c r="J23" s="6"/>
      <c r="K23" s="7"/>
      <c r="L23" s="7"/>
      <c r="M23" s="7" t="s">
        <v>3411</v>
      </c>
      <c r="N23" s="7" t="s">
        <v>3369</v>
      </c>
      <c r="O23" s="7" t="s">
        <v>2527</v>
      </c>
      <c r="P23" s="7" t="s">
        <v>3412</v>
      </c>
      <c r="Q23" s="7" t="s">
        <v>2090</v>
      </c>
      <c r="R23" s="7" t="s">
        <v>3373</v>
      </c>
      <c r="S23" s="7" t="s">
        <v>3374</v>
      </c>
      <c r="T23" s="7" t="s">
        <v>3360</v>
      </c>
      <c r="U23" s="7"/>
    </row>
    <row r="24" customFormat="false" ht="15" hidden="false" customHeight="false" outlineLevel="0" collapsed="false">
      <c r="A24" s="7" t="s">
        <v>2537</v>
      </c>
      <c r="B24" s="7" t="s">
        <v>3353</v>
      </c>
      <c r="C24" s="7" t="s">
        <v>3410</v>
      </c>
      <c r="D24" s="8" t="n">
        <v>0.8</v>
      </c>
      <c r="E24" s="9" t="n">
        <v>71400</v>
      </c>
      <c r="F24" s="6" t="n">
        <v>1</v>
      </c>
      <c r="G24" s="7" t="s">
        <v>3355</v>
      </c>
      <c r="H24" s="7" t="s">
        <v>3356</v>
      </c>
      <c r="I24" s="7"/>
      <c r="J24" s="6"/>
      <c r="K24" s="7"/>
      <c r="L24" s="7"/>
      <c r="M24" s="7" t="s">
        <v>3409</v>
      </c>
      <c r="N24" s="7" t="s">
        <v>3369</v>
      </c>
      <c r="O24" s="7" t="s">
        <v>2535</v>
      </c>
      <c r="P24" s="7" t="s">
        <v>3412</v>
      </c>
      <c r="Q24" s="7" t="s">
        <v>2090</v>
      </c>
      <c r="R24" s="7" t="s">
        <v>3373</v>
      </c>
      <c r="S24" s="7" t="s">
        <v>3374</v>
      </c>
      <c r="T24" s="7" t="s">
        <v>3360</v>
      </c>
      <c r="U24" s="7"/>
    </row>
    <row r="25" customFormat="false" ht="15" hidden="false" customHeight="false" outlineLevel="0" collapsed="false">
      <c r="A25" s="7" t="s">
        <v>2590</v>
      </c>
      <c r="B25" s="7" t="s">
        <v>3413</v>
      </c>
      <c r="C25" s="7" t="s">
        <v>3414</v>
      </c>
      <c r="D25" s="8"/>
      <c r="E25" s="9" t="n">
        <v>512600</v>
      </c>
      <c r="F25" s="6" t="n">
        <v>3</v>
      </c>
      <c r="G25" s="7" t="s">
        <v>3355</v>
      </c>
      <c r="H25" s="7" t="s">
        <v>3356</v>
      </c>
      <c r="I25" s="7"/>
      <c r="J25" s="6"/>
      <c r="K25" s="7"/>
      <c r="L25" s="7"/>
      <c r="M25" s="7" t="s">
        <v>3415</v>
      </c>
      <c r="N25" s="7" t="s">
        <v>3369</v>
      </c>
      <c r="O25" s="7" t="s">
        <v>3416</v>
      </c>
      <c r="P25" s="7"/>
      <c r="Q25" s="7"/>
      <c r="R25" s="7" t="s">
        <v>3373</v>
      </c>
      <c r="S25" s="7" t="s">
        <v>3359</v>
      </c>
      <c r="T25" s="7" t="s">
        <v>3360</v>
      </c>
      <c r="U25" s="7"/>
    </row>
    <row r="26" customFormat="false" ht="15" hidden="false" customHeight="false" outlineLevel="0" collapsed="false">
      <c r="A26" s="7" t="s">
        <v>2615</v>
      </c>
      <c r="B26" s="7" t="s">
        <v>3413</v>
      </c>
      <c r="C26" s="7" t="s">
        <v>3414</v>
      </c>
      <c r="D26" s="8"/>
      <c r="E26" s="9" t="n">
        <v>540000</v>
      </c>
      <c r="F26" s="6" t="n">
        <v>2</v>
      </c>
      <c r="G26" s="7" t="s">
        <v>3355</v>
      </c>
      <c r="H26" s="7" t="s">
        <v>3356</v>
      </c>
      <c r="I26" s="7"/>
      <c r="J26" s="6"/>
      <c r="K26" s="7"/>
      <c r="L26" s="7"/>
      <c r="M26" s="7"/>
      <c r="N26" s="7" t="s">
        <v>3369</v>
      </c>
      <c r="O26" s="7" t="s">
        <v>3417</v>
      </c>
      <c r="P26" s="7"/>
      <c r="Q26" s="7"/>
      <c r="R26" s="7" t="s">
        <v>3373</v>
      </c>
      <c r="S26" s="7" t="s">
        <v>3359</v>
      </c>
      <c r="T26" s="7" t="s">
        <v>3360</v>
      </c>
      <c r="U26" s="7"/>
    </row>
    <row r="27" customFormat="false" ht="15" hidden="false" customHeight="false" outlineLevel="0" collapsed="false">
      <c r="A27" s="7" t="s">
        <v>2631</v>
      </c>
      <c r="B27" s="7" t="s">
        <v>3413</v>
      </c>
      <c r="C27" s="7" t="s">
        <v>3414</v>
      </c>
      <c r="D27" s="8"/>
      <c r="E27" s="9" t="n">
        <v>324000</v>
      </c>
      <c r="F27" s="6" t="n">
        <v>2</v>
      </c>
      <c r="G27" s="7" t="s">
        <v>3355</v>
      </c>
      <c r="H27" s="7" t="s">
        <v>3356</v>
      </c>
      <c r="I27" s="7"/>
      <c r="J27" s="6"/>
      <c r="K27" s="7"/>
      <c r="L27" s="7"/>
      <c r="M27" s="7"/>
      <c r="N27" s="7" t="s">
        <v>3369</v>
      </c>
      <c r="O27" s="7" t="s">
        <v>3418</v>
      </c>
      <c r="P27" s="7"/>
      <c r="Q27" s="7"/>
      <c r="R27" s="7" t="s">
        <v>3373</v>
      </c>
      <c r="S27" s="7" t="s">
        <v>3359</v>
      </c>
      <c r="T27" s="7" t="s">
        <v>3360</v>
      </c>
      <c r="U27" s="7"/>
    </row>
    <row r="28" customFormat="false" ht="15" hidden="false" customHeight="false" outlineLevel="0" collapsed="false">
      <c r="A28" s="7" t="s">
        <v>2647</v>
      </c>
      <c r="B28" s="7" t="s">
        <v>3413</v>
      </c>
      <c r="C28" s="7" t="s">
        <v>3414</v>
      </c>
      <c r="D28" s="8"/>
      <c r="E28" s="9" t="n">
        <v>70000</v>
      </c>
      <c r="F28" s="6" t="n">
        <v>1</v>
      </c>
      <c r="G28" s="7" t="s">
        <v>3355</v>
      </c>
      <c r="H28" s="7" t="s">
        <v>3356</v>
      </c>
      <c r="I28" s="7"/>
      <c r="J28" s="6"/>
      <c r="K28" s="7"/>
      <c r="L28" s="7"/>
      <c r="M28" s="7"/>
      <c r="N28" s="7" t="s">
        <v>3369</v>
      </c>
      <c r="O28" s="7" t="s">
        <v>2645</v>
      </c>
      <c r="P28" s="7"/>
      <c r="Q28" s="7"/>
      <c r="R28" s="7" t="s">
        <v>3373</v>
      </c>
      <c r="S28" s="7" t="s">
        <v>3359</v>
      </c>
      <c r="T28" s="7" t="s">
        <v>3360</v>
      </c>
      <c r="U28" s="7"/>
    </row>
    <row r="29" customFormat="false" ht="15" hidden="false" customHeight="false" outlineLevel="0" collapsed="false">
      <c r="A29" s="7" t="s">
        <v>2655</v>
      </c>
      <c r="B29" s="7" t="s">
        <v>3413</v>
      </c>
      <c r="C29" s="7" t="s">
        <v>3414</v>
      </c>
      <c r="D29" s="8"/>
      <c r="E29" s="9" t="n">
        <v>270000</v>
      </c>
      <c r="F29" s="6" t="n">
        <v>4</v>
      </c>
      <c r="G29" s="7" t="s">
        <v>3355</v>
      </c>
      <c r="H29" s="7" t="s">
        <v>3356</v>
      </c>
      <c r="I29" s="7"/>
      <c r="J29" s="6"/>
      <c r="K29" s="7"/>
      <c r="L29" s="7"/>
      <c r="M29" s="7"/>
      <c r="N29" s="7" t="s">
        <v>3369</v>
      </c>
      <c r="O29" s="7" t="s">
        <v>3419</v>
      </c>
      <c r="P29" s="7"/>
      <c r="Q29" s="7"/>
      <c r="R29" s="7" t="s">
        <v>3373</v>
      </c>
      <c r="S29" s="7" t="s">
        <v>3359</v>
      </c>
      <c r="T29" s="7" t="s">
        <v>3360</v>
      </c>
      <c r="U29" s="7"/>
    </row>
    <row r="30" customFormat="false" ht="15" hidden="false" customHeight="false" outlineLevel="0" collapsed="false">
      <c r="A30" s="7" t="s">
        <v>2683</v>
      </c>
      <c r="B30" s="7" t="s">
        <v>3413</v>
      </c>
      <c r="C30" s="7" t="s">
        <v>3414</v>
      </c>
      <c r="D30" s="8"/>
      <c r="E30" s="9" t="n">
        <v>340000</v>
      </c>
      <c r="F30" s="6" t="n">
        <v>3</v>
      </c>
      <c r="G30" s="7" t="s">
        <v>3355</v>
      </c>
      <c r="H30" s="7" t="s">
        <v>3356</v>
      </c>
      <c r="I30" s="7"/>
      <c r="J30" s="6"/>
      <c r="K30" s="7"/>
      <c r="L30" s="7"/>
      <c r="M30" s="7"/>
      <c r="N30" s="7" t="s">
        <v>3369</v>
      </c>
      <c r="O30" s="7" t="s">
        <v>3420</v>
      </c>
      <c r="P30" s="7"/>
      <c r="Q30" s="7"/>
      <c r="R30" s="7" t="s">
        <v>3373</v>
      </c>
      <c r="S30" s="7" t="s">
        <v>3359</v>
      </c>
      <c r="T30" s="7" t="s">
        <v>3360</v>
      </c>
      <c r="U30" s="7"/>
    </row>
    <row r="31" customFormat="false" ht="15" hidden="false" customHeight="false" outlineLevel="0" collapsed="false">
      <c r="A31" s="7" t="s">
        <v>2700</v>
      </c>
      <c r="B31" s="7" t="s">
        <v>3413</v>
      </c>
      <c r="C31" s="7" t="s">
        <v>3414</v>
      </c>
      <c r="D31" s="8"/>
      <c r="E31" s="9" t="n">
        <v>130000</v>
      </c>
      <c r="F31" s="6" t="n">
        <v>2</v>
      </c>
      <c r="G31" s="7" t="s">
        <v>3355</v>
      </c>
      <c r="H31" s="7" t="s">
        <v>3356</v>
      </c>
      <c r="I31" s="7"/>
      <c r="J31" s="6"/>
      <c r="K31" s="7"/>
      <c r="L31" s="7"/>
      <c r="M31" s="7"/>
      <c r="N31" s="7" t="s">
        <v>3369</v>
      </c>
      <c r="O31" s="7" t="s">
        <v>3421</v>
      </c>
      <c r="P31" s="7"/>
      <c r="Q31" s="7"/>
      <c r="R31" s="7" t="s">
        <v>3373</v>
      </c>
      <c r="S31" s="7" t="s">
        <v>3359</v>
      </c>
      <c r="T31" s="7" t="s">
        <v>3360</v>
      </c>
      <c r="U31" s="7"/>
    </row>
    <row r="32" customFormat="false" ht="15" hidden="false" customHeight="false" outlineLevel="0" collapsed="false">
      <c r="A32" s="7" t="s">
        <v>2712</v>
      </c>
      <c r="B32" s="7" t="s">
        <v>3413</v>
      </c>
      <c r="C32" s="7" t="s">
        <v>3414</v>
      </c>
      <c r="D32" s="8"/>
      <c r="E32" s="9" t="n">
        <v>243000</v>
      </c>
      <c r="F32" s="6" t="n">
        <v>3</v>
      </c>
      <c r="G32" s="7" t="s">
        <v>3355</v>
      </c>
      <c r="H32" s="7" t="s">
        <v>3356</v>
      </c>
      <c r="I32" s="7"/>
      <c r="J32" s="6"/>
      <c r="K32" s="7"/>
      <c r="L32" s="7"/>
      <c r="M32" s="7"/>
      <c r="N32" s="7" t="s">
        <v>3369</v>
      </c>
      <c r="O32" s="7" t="s">
        <v>3422</v>
      </c>
      <c r="P32" s="7"/>
      <c r="Q32" s="7"/>
      <c r="R32" s="7" t="s">
        <v>3373</v>
      </c>
      <c r="S32" s="7" t="s">
        <v>3359</v>
      </c>
      <c r="T32" s="7" t="s">
        <v>3360</v>
      </c>
      <c r="U32" s="7"/>
    </row>
    <row r="33" customFormat="false" ht="15" hidden="false" customHeight="false" outlineLevel="0" collapsed="false">
      <c r="A33" s="7" t="s">
        <v>2729</v>
      </c>
      <c r="B33" s="7" t="s">
        <v>3413</v>
      </c>
      <c r="C33" s="7" t="s">
        <v>3414</v>
      </c>
      <c r="D33" s="8"/>
      <c r="E33" s="9" t="n">
        <v>110000</v>
      </c>
      <c r="F33" s="6" t="n">
        <v>2</v>
      </c>
      <c r="G33" s="7" t="s">
        <v>3355</v>
      </c>
      <c r="H33" s="7" t="s">
        <v>3356</v>
      </c>
      <c r="I33" s="7"/>
      <c r="J33" s="6"/>
      <c r="K33" s="7"/>
      <c r="L33" s="7"/>
      <c r="M33" s="7"/>
      <c r="N33" s="7" t="s">
        <v>3369</v>
      </c>
      <c r="O33" s="7" t="s">
        <v>3423</v>
      </c>
      <c r="P33" s="7"/>
      <c r="Q33" s="7"/>
      <c r="R33" s="7" t="s">
        <v>3373</v>
      </c>
      <c r="S33" s="7" t="s">
        <v>3359</v>
      </c>
      <c r="T33" s="7" t="s">
        <v>3360</v>
      </c>
      <c r="U33" s="7"/>
    </row>
    <row r="34" customFormat="false" ht="15" hidden="false" customHeight="false" outlineLevel="0" collapsed="false">
      <c r="A34" s="7" t="s">
        <v>2742</v>
      </c>
      <c r="B34" s="7" t="s">
        <v>3413</v>
      </c>
      <c r="C34" s="7" t="s">
        <v>3414</v>
      </c>
      <c r="D34" s="8"/>
      <c r="E34" s="9" t="n">
        <v>150000</v>
      </c>
      <c r="F34" s="6" t="n">
        <v>1</v>
      </c>
      <c r="G34" s="7" t="s">
        <v>3355</v>
      </c>
      <c r="H34" s="7" t="s">
        <v>3356</v>
      </c>
      <c r="I34" s="7"/>
      <c r="J34" s="6"/>
      <c r="K34" s="7"/>
      <c r="L34" s="7"/>
      <c r="M34" s="7"/>
      <c r="N34" s="7" t="s">
        <v>3369</v>
      </c>
      <c r="O34" s="7" t="s">
        <v>2740</v>
      </c>
      <c r="P34" s="7"/>
      <c r="Q34" s="7"/>
      <c r="R34" s="7" t="s">
        <v>3373</v>
      </c>
      <c r="S34" s="7" t="s">
        <v>3359</v>
      </c>
      <c r="T34" s="7" t="s">
        <v>3360</v>
      </c>
      <c r="U34" s="7"/>
    </row>
    <row r="35" customFormat="false" ht="15" hidden="false" customHeight="false" outlineLevel="0" collapsed="false">
      <c r="A35" s="7" t="s">
        <v>2749</v>
      </c>
      <c r="B35" s="7" t="s">
        <v>3413</v>
      </c>
      <c r="C35" s="7" t="s">
        <v>3414</v>
      </c>
      <c r="D35" s="8"/>
      <c r="E35" s="9" t="n">
        <v>1230000</v>
      </c>
      <c r="F35" s="6" t="n">
        <v>1</v>
      </c>
      <c r="G35" s="7" t="s">
        <v>3355</v>
      </c>
      <c r="H35" s="7" t="s">
        <v>3356</v>
      </c>
      <c r="I35" s="7"/>
      <c r="J35" s="6"/>
      <c r="K35" s="7"/>
      <c r="L35" s="7"/>
      <c r="M35" s="7"/>
      <c r="N35" s="7" t="s">
        <v>3369</v>
      </c>
      <c r="O35" s="7" t="s">
        <v>2747</v>
      </c>
      <c r="P35" s="7"/>
      <c r="Q35" s="7"/>
      <c r="R35" s="7" t="s">
        <v>3373</v>
      </c>
      <c r="S35" s="7" t="s">
        <v>3359</v>
      </c>
      <c r="T35" s="7" t="s">
        <v>3360</v>
      </c>
      <c r="U35" s="7"/>
    </row>
    <row r="36" customFormat="false" ht="15" hidden="false" customHeight="false" outlineLevel="0" collapsed="false">
      <c r="A36" s="7" t="s">
        <v>2846</v>
      </c>
      <c r="B36" s="7" t="s">
        <v>3353</v>
      </c>
      <c r="C36" s="7" t="s">
        <v>3424</v>
      </c>
      <c r="D36" s="8" t="n">
        <v>142.48</v>
      </c>
      <c r="E36" s="9" t="n">
        <v>585000</v>
      </c>
      <c r="F36" s="6" t="n">
        <v>5</v>
      </c>
      <c r="G36" s="7" t="s">
        <v>3355</v>
      </c>
      <c r="H36" s="7" t="s">
        <v>3356</v>
      </c>
      <c r="I36" s="7"/>
      <c r="J36" s="6"/>
      <c r="K36" s="7"/>
      <c r="L36" s="7"/>
      <c r="M36" s="7" t="s">
        <v>3425</v>
      </c>
      <c r="N36" s="7" t="s">
        <v>3369</v>
      </c>
      <c r="O36" s="7" t="s">
        <v>3426</v>
      </c>
      <c r="P36" s="7"/>
      <c r="Q36" s="7"/>
      <c r="R36" s="7" t="s">
        <v>3373</v>
      </c>
      <c r="S36" s="7"/>
      <c r="T36" s="7"/>
      <c r="U36" s="7"/>
    </row>
    <row r="37" customFormat="false" ht="15" hidden="false" customHeight="false" outlineLevel="0" collapsed="false">
      <c r="A37" s="7" t="s">
        <v>2920</v>
      </c>
      <c r="B37" s="7" t="s">
        <v>3413</v>
      </c>
      <c r="C37" s="7" t="s">
        <v>3424</v>
      </c>
      <c r="D37" s="8"/>
      <c r="E37" s="9" t="n">
        <v>261000</v>
      </c>
      <c r="F37" s="6" t="n">
        <v>1</v>
      </c>
      <c r="G37" s="7" t="s">
        <v>3355</v>
      </c>
      <c r="H37" s="7" t="s">
        <v>3356</v>
      </c>
      <c r="I37" s="7"/>
      <c r="J37" s="6"/>
      <c r="K37" s="7"/>
      <c r="L37" s="7"/>
      <c r="M37" s="7" t="s">
        <v>3427</v>
      </c>
      <c r="N37" s="7" t="s">
        <v>3395</v>
      </c>
      <c r="O37" s="7" t="s">
        <v>3428</v>
      </c>
      <c r="P37" s="7"/>
      <c r="Q37" s="7"/>
      <c r="R37" s="7" t="s">
        <v>3373</v>
      </c>
      <c r="S37" s="7"/>
      <c r="T37" s="7"/>
      <c r="U37" s="7"/>
    </row>
    <row r="38" customFormat="false" ht="15" hidden="false" customHeight="false" outlineLevel="0" collapsed="false">
      <c r="A38" s="7" t="s">
        <v>2928</v>
      </c>
      <c r="B38" s="7" t="s">
        <v>3429</v>
      </c>
      <c r="C38" s="7" t="s">
        <v>3424</v>
      </c>
      <c r="D38" s="8"/>
      <c r="E38" s="9" t="n">
        <v>255000</v>
      </c>
      <c r="F38" s="6" t="n">
        <v>1</v>
      </c>
      <c r="G38" s="7" t="s">
        <v>3355</v>
      </c>
      <c r="H38" s="7" t="s">
        <v>3356</v>
      </c>
      <c r="I38" s="7"/>
      <c r="J38" s="6"/>
      <c r="K38" s="7"/>
      <c r="L38" s="7"/>
      <c r="M38" s="7" t="s">
        <v>3430</v>
      </c>
      <c r="N38" s="7" t="s">
        <v>3395</v>
      </c>
      <c r="O38" s="7" t="s">
        <v>2925</v>
      </c>
      <c r="P38" s="7"/>
      <c r="Q38" s="7"/>
      <c r="R38" s="7" t="s">
        <v>3373</v>
      </c>
      <c r="S38" s="7"/>
      <c r="T38" s="7"/>
      <c r="U38" s="7"/>
    </row>
    <row r="39" customFormat="false" ht="15" hidden="false" customHeight="false" outlineLevel="0" collapsed="false">
      <c r="A39" s="7" t="s">
        <v>2937</v>
      </c>
      <c r="B39" s="7" t="s">
        <v>3429</v>
      </c>
      <c r="C39" s="7" t="s">
        <v>3424</v>
      </c>
      <c r="D39" s="8"/>
      <c r="E39" s="9" t="n">
        <v>24000</v>
      </c>
      <c r="F39" s="6" t="n">
        <v>1</v>
      </c>
      <c r="G39" s="7" t="s">
        <v>3355</v>
      </c>
      <c r="H39" s="7" t="s">
        <v>3356</v>
      </c>
      <c r="I39" s="7"/>
      <c r="J39" s="6"/>
      <c r="K39" s="7"/>
      <c r="L39" s="7"/>
      <c r="M39" s="7" t="s">
        <v>3431</v>
      </c>
      <c r="N39" s="7" t="s">
        <v>3395</v>
      </c>
      <c r="O39" s="7" t="s">
        <v>2935</v>
      </c>
      <c r="P39" s="7"/>
      <c r="Q39" s="7"/>
      <c r="R39" s="7" t="s">
        <v>3373</v>
      </c>
      <c r="S39" s="7"/>
      <c r="T39" s="7"/>
      <c r="U39" s="7"/>
    </row>
    <row r="40" customFormat="false" ht="15" hidden="false" customHeight="false" outlineLevel="0" collapsed="false">
      <c r="A40" s="7" t="s">
        <v>2944</v>
      </c>
      <c r="B40" s="7" t="s">
        <v>3429</v>
      </c>
      <c r="C40" s="7" t="s">
        <v>3424</v>
      </c>
      <c r="D40" s="8"/>
      <c r="E40" s="9" t="n">
        <v>278100</v>
      </c>
      <c r="F40" s="6" t="n">
        <v>1</v>
      </c>
      <c r="G40" s="7" t="s">
        <v>3355</v>
      </c>
      <c r="H40" s="7" t="s">
        <v>3356</v>
      </c>
      <c r="I40" s="7"/>
      <c r="J40" s="6"/>
      <c r="K40" s="7"/>
      <c r="L40" s="7"/>
      <c r="M40" s="7" t="s">
        <v>3432</v>
      </c>
      <c r="N40" s="7" t="s">
        <v>3395</v>
      </c>
      <c r="O40" s="7" t="s">
        <v>2942</v>
      </c>
      <c r="P40" s="7"/>
      <c r="Q40" s="7"/>
      <c r="R40" s="7" t="s">
        <v>3373</v>
      </c>
      <c r="S40" s="7"/>
      <c r="T40" s="7"/>
      <c r="U40" s="7"/>
    </row>
    <row r="41" customFormat="false" ht="15" hidden="false" customHeight="false" outlineLevel="0" collapsed="false">
      <c r="A41" s="7" t="s">
        <v>3433</v>
      </c>
      <c r="B41" s="7" t="s">
        <v>3429</v>
      </c>
      <c r="C41" s="7" t="s">
        <v>3424</v>
      </c>
      <c r="D41" s="8"/>
      <c r="E41" s="9" t="n">
        <v>291500</v>
      </c>
      <c r="F41" s="6" t="n">
        <v>1</v>
      </c>
      <c r="G41" s="7" t="s">
        <v>3355</v>
      </c>
      <c r="H41" s="7" t="s">
        <v>3356</v>
      </c>
      <c r="I41" s="7"/>
      <c r="J41" s="6"/>
      <c r="K41" s="7"/>
      <c r="L41" s="7"/>
      <c r="M41" s="7" t="s">
        <v>3434</v>
      </c>
      <c r="N41" s="7" t="s">
        <v>3395</v>
      </c>
      <c r="O41" s="7" t="s">
        <v>2949</v>
      </c>
      <c r="P41" s="7"/>
      <c r="Q41" s="7"/>
      <c r="R41" s="7" t="s">
        <v>3373</v>
      </c>
      <c r="S41" s="7"/>
      <c r="T41" s="7"/>
      <c r="U41" s="7"/>
    </row>
    <row r="42" customFormat="false" ht="15" hidden="false" customHeight="false" outlineLevel="0" collapsed="false">
      <c r="A42" s="7" t="s">
        <v>2959</v>
      </c>
      <c r="B42" s="7" t="s">
        <v>3429</v>
      </c>
      <c r="C42" s="7" t="s">
        <v>3424</v>
      </c>
      <c r="D42" s="8"/>
      <c r="E42" s="9" t="n">
        <v>500000</v>
      </c>
      <c r="F42" s="6" t="n">
        <v>1</v>
      </c>
      <c r="G42" s="7" t="s">
        <v>3355</v>
      </c>
      <c r="H42" s="7" t="s">
        <v>3356</v>
      </c>
      <c r="I42" s="7"/>
      <c r="J42" s="6"/>
      <c r="K42" s="7"/>
      <c r="L42" s="7"/>
      <c r="M42" s="7" t="s">
        <v>3435</v>
      </c>
      <c r="N42" s="7" t="s">
        <v>3395</v>
      </c>
      <c r="O42" s="7" t="s">
        <v>2957</v>
      </c>
      <c r="P42" s="7"/>
      <c r="Q42" s="7"/>
      <c r="R42" s="7" t="s">
        <v>3373</v>
      </c>
      <c r="S42" s="7"/>
      <c r="T42" s="7"/>
      <c r="U42" s="7"/>
    </row>
    <row r="43" customFormat="false" ht="15" hidden="false" customHeight="false" outlineLevel="0" collapsed="false">
      <c r="A43" s="7" t="s">
        <v>2966</v>
      </c>
      <c r="B43" s="7" t="s">
        <v>3429</v>
      </c>
      <c r="C43" s="7" t="s">
        <v>3424</v>
      </c>
      <c r="D43" s="8"/>
      <c r="E43" s="9" t="n">
        <v>500000</v>
      </c>
      <c r="F43" s="6" t="n">
        <v>1</v>
      </c>
      <c r="G43" s="7" t="s">
        <v>3355</v>
      </c>
      <c r="H43" s="7" t="s">
        <v>3356</v>
      </c>
      <c r="I43" s="7"/>
      <c r="J43" s="6"/>
      <c r="K43" s="7"/>
      <c r="L43" s="7"/>
      <c r="M43" s="7" t="s">
        <v>3436</v>
      </c>
      <c r="N43" s="7" t="s">
        <v>3395</v>
      </c>
      <c r="O43" s="7" t="s">
        <v>2964</v>
      </c>
      <c r="P43" s="7"/>
      <c r="Q43" s="7"/>
      <c r="R43" s="7" t="s">
        <v>3373</v>
      </c>
      <c r="S43" s="7"/>
      <c r="T43" s="7"/>
      <c r="U43" s="7"/>
    </row>
    <row r="44" customFormat="false" ht="15" hidden="false" customHeight="false" outlineLevel="0" collapsed="false">
      <c r="A44" s="7" t="s">
        <v>3106</v>
      </c>
      <c r="B44" s="7" t="s">
        <v>3353</v>
      </c>
      <c r="C44" s="7" t="s">
        <v>3437</v>
      </c>
      <c r="D44" s="8" t="n">
        <v>1.48</v>
      </c>
      <c r="E44" s="9" t="n">
        <v>735000</v>
      </c>
      <c r="F44" s="6" t="n">
        <v>2</v>
      </c>
      <c r="G44" s="7" t="s">
        <v>3355</v>
      </c>
      <c r="H44" s="7" t="s">
        <v>3356</v>
      </c>
      <c r="I44" s="7"/>
      <c r="J44" s="6"/>
      <c r="K44" s="7"/>
      <c r="L44" s="7"/>
      <c r="M44" s="7" t="s">
        <v>3438</v>
      </c>
      <c r="N44" s="7" t="s">
        <v>3369</v>
      </c>
      <c r="O44" s="7" t="s">
        <v>3439</v>
      </c>
      <c r="P44" s="7"/>
      <c r="Q44" s="7"/>
      <c r="R44" s="7" t="s">
        <v>3373</v>
      </c>
      <c r="S44" s="7"/>
      <c r="T44" s="7"/>
      <c r="U44" s="7"/>
    </row>
    <row r="45" customFormat="false" ht="15" hidden="false" customHeight="false" outlineLevel="0" collapsed="false">
      <c r="A45" s="7" t="s">
        <v>847</v>
      </c>
      <c r="B45" s="7"/>
      <c r="C45" s="7"/>
      <c r="D45" s="8"/>
      <c r="E45" s="9"/>
      <c r="F45" s="6" t="n">
        <v>1</v>
      </c>
      <c r="G45" s="7"/>
      <c r="H45" s="7"/>
      <c r="I45" s="7"/>
      <c r="J45" s="6"/>
      <c r="K45" s="7"/>
      <c r="L45" s="7"/>
      <c r="M45" s="7" t="s">
        <v>3440</v>
      </c>
      <c r="N45" s="7" t="s">
        <v>3364</v>
      </c>
      <c r="O45" s="7" t="s">
        <v>3441</v>
      </c>
      <c r="P45" s="7"/>
      <c r="Q45" s="7"/>
      <c r="R45" s="7"/>
      <c r="S45" s="7"/>
      <c r="T45" s="7"/>
      <c r="U45" s="7"/>
    </row>
    <row r="46" customFormat="false" ht="15" hidden="false" customHeight="false" outlineLevel="0" collapsed="false">
      <c r="A46" s="7" t="s">
        <v>666</v>
      </c>
      <c r="B46" s="7"/>
      <c r="C46" s="7"/>
      <c r="D46" s="8"/>
      <c r="E46" s="9"/>
      <c r="F46" s="6" t="n">
        <v>1</v>
      </c>
      <c r="G46" s="7"/>
      <c r="H46" s="7"/>
      <c r="I46" s="7"/>
      <c r="J46" s="6"/>
      <c r="K46" s="7"/>
      <c r="L46" s="7"/>
      <c r="M46" s="7" t="s">
        <v>3440</v>
      </c>
      <c r="N46" s="7" t="s">
        <v>3364</v>
      </c>
      <c r="O46" s="7" t="s">
        <v>3442</v>
      </c>
      <c r="P46" s="7"/>
      <c r="Q46" s="7"/>
      <c r="R46" s="7"/>
      <c r="S46" s="7"/>
      <c r="T46" s="7"/>
      <c r="U46" s="7"/>
    </row>
    <row r="47" customFormat="false" ht="15" hidden="false" customHeight="false" outlineLevel="0" collapsed="false">
      <c r="A47" s="7" t="s">
        <v>704</v>
      </c>
      <c r="B47" s="7"/>
      <c r="C47" s="7"/>
      <c r="D47" s="8"/>
      <c r="E47" s="9"/>
      <c r="F47" s="6" t="n">
        <v>1</v>
      </c>
      <c r="G47" s="7"/>
      <c r="H47" s="7"/>
      <c r="I47" s="7"/>
      <c r="J47" s="6"/>
      <c r="K47" s="7"/>
      <c r="L47" s="7"/>
      <c r="M47" s="7" t="s">
        <v>3440</v>
      </c>
      <c r="N47" s="7" t="s">
        <v>3364</v>
      </c>
      <c r="O47" s="7" t="s">
        <v>3443</v>
      </c>
      <c r="P47" s="7"/>
      <c r="Q47" s="7"/>
      <c r="R47" s="7"/>
      <c r="S47" s="7"/>
      <c r="T47" s="7"/>
      <c r="U47" s="7"/>
    </row>
    <row r="48" customFormat="false" ht="15" hidden="false" customHeight="false" outlineLevel="0" collapsed="false">
      <c r="A48" s="7" t="s">
        <v>674</v>
      </c>
      <c r="B48" s="7"/>
      <c r="C48" s="7"/>
      <c r="D48" s="8"/>
      <c r="E48" s="9"/>
      <c r="F48" s="6" t="n">
        <v>21</v>
      </c>
      <c r="G48" s="7"/>
      <c r="H48" s="7"/>
      <c r="I48" s="7"/>
      <c r="J48" s="6"/>
      <c r="K48" s="7"/>
      <c r="L48" s="7"/>
      <c r="M48" s="7" t="s">
        <v>3444</v>
      </c>
      <c r="N48" s="7" t="s">
        <v>3364</v>
      </c>
      <c r="O48" s="7" t="s">
        <v>3445</v>
      </c>
      <c r="P48" s="7"/>
      <c r="Q48" s="7"/>
      <c r="R48" s="7"/>
      <c r="S48" s="7"/>
      <c r="T48" s="7"/>
      <c r="U48" s="7"/>
    </row>
    <row r="49" customFormat="false" ht="15" hidden="false" customHeight="false" outlineLevel="0" collapsed="false">
      <c r="A49" s="7" t="s">
        <v>1682</v>
      </c>
      <c r="B49" s="7"/>
      <c r="C49" s="7"/>
      <c r="D49" s="8"/>
      <c r="E49" s="9"/>
      <c r="F49" s="6" t="n">
        <v>2</v>
      </c>
      <c r="G49" s="7"/>
      <c r="H49" s="7"/>
      <c r="I49" s="7"/>
      <c r="J49" s="6"/>
      <c r="K49" s="7"/>
      <c r="L49" s="7"/>
      <c r="M49" s="7" t="s">
        <v>3446</v>
      </c>
      <c r="N49" s="7" t="s">
        <v>3364</v>
      </c>
      <c r="O49" s="7" t="s">
        <v>3447</v>
      </c>
      <c r="P49" s="7"/>
      <c r="Q49" s="7"/>
      <c r="R49" s="7"/>
      <c r="S49" s="7"/>
      <c r="T49" s="7"/>
      <c r="U49" s="7"/>
    </row>
    <row r="50" customFormat="false" ht="15" hidden="false" customHeight="false" outlineLevel="0" collapsed="false">
      <c r="A50" s="7" t="s">
        <v>980</v>
      </c>
      <c r="B50" s="7"/>
      <c r="C50" s="7"/>
      <c r="D50" s="8"/>
      <c r="E50" s="9"/>
      <c r="F50" s="6" t="n">
        <v>1</v>
      </c>
      <c r="G50" s="7"/>
      <c r="H50" s="7"/>
      <c r="I50" s="7"/>
      <c r="J50" s="6"/>
      <c r="K50" s="7"/>
      <c r="L50" s="7"/>
      <c r="M50" s="7" t="s">
        <v>3440</v>
      </c>
      <c r="N50" s="7" t="s">
        <v>3364</v>
      </c>
      <c r="O50" s="7" t="s">
        <v>901</v>
      </c>
      <c r="P50" s="7"/>
      <c r="Q50" s="7"/>
      <c r="R50" s="7"/>
      <c r="S50" s="7"/>
      <c r="T50" s="7"/>
      <c r="U50" s="7"/>
    </row>
    <row r="51" customFormat="false" ht="15" hidden="false" customHeight="false" outlineLevel="0" collapsed="false">
      <c r="A51" s="7" t="s">
        <v>3135</v>
      </c>
      <c r="B51" s="7" t="s">
        <v>3429</v>
      </c>
      <c r="C51" s="7" t="s">
        <v>3448</v>
      </c>
      <c r="D51" s="8"/>
      <c r="E51" s="9" t="n">
        <v>87400</v>
      </c>
      <c r="F51" s="6" t="n">
        <v>1</v>
      </c>
      <c r="G51" s="7"/>
      <c r="H51" s="7"/>
      <c r="I51" s="7"/>
      <c r="J51" s="6"/>
      <c r="K51" s="7"/>
      <c r="L51" s="7"/>
      <c r="M51" s="7" t="s">
        <v>3440</v>
      </c>
      <c r="N51" s="7" t="s">
        <v>3364</v>
      </c>
      <c r="O51" s="7" t="s">
        <v>3449</v>
      </c>
      <c r="P51" s="7"/>
      <c r="Q51" s="7"/>
      <c r="R51" s="7"/>
      <c r="S51" s="7"/>
      <c r="T51" s="7"/>
      <c r="U51" s="7"/>
    </row>
    <row r="52" customFormat="false" ht="15" hidden="false" customHeight="false" outlineLevel="0" collapsed="false">
      <c r="A52" s="7" t="s">
        <v>582</v>
      </c>
      <c r="B52" s="7"/>
      <c r="C52" s="7"/>
      <c r="D52" s="8"/>
      <c r="E52" s="9"/>
      <c r="F52" s="6" t="n">
        <v>1</v>
      </c>
      <c r="G52" s="7"/>
      <c r="H52" s="7"/>
      <c r="I52" s="7"/>
      <c r="J52" s="6"/>
      <c r="K52" s="7"/>
      <c r="L52" s="7"/>
      <c r="M52" s="7" t="s">
        <v>3440</v>
      </c>
      <c r="N52" s="7" t="s">
        <v>3364</v>
      </c>
      <c r="O52" s="7" t="s">
        <v>3450</v>
      </c>
      <c r="P52" s="7"/>
      <c r="Q52" s="7"/>
      <c r="R52" s="7"/>
      <c r="S52" s="7"/>
      <c r="T52" s="7"/>
      <c r="U52" s="7"/>
    </row>
    <row r="53" customFormat="false" ht="15" hidden="false" customHeight="false" outlineLevel="0" collapsed="false">
      <c r="A53" s="7" t="s">
        <v>591</v>
      </c>
      <c r="B53" s="7"/>
      <c r="C53" s="7"/>
      <c r="D53" s="8"/>
      <c r="E53" s="9"/>
      <c r="F53" s="6" t="n">
        <v>1</v>
      </c>
      <c r="G53" s="7"/>
      <c r="H53" s="7"/>
      <c r="I53" s="7"/>
      <c r="J53" s="6"/>
      <c r="K53" s="7"/>
      <c r="L53" s="7"/>
      <c r="M53" s="7" t="s">
        <v>3440</v>
      </c>
      <c r="N53" s="7" t="s">
        <v>3364</v>
      </c>
      <c r="O53" s="7" t="s">
        <v>3451</v>
      </c>
      <c r="P53" s="7"/>
      <c r="Q53" s="7"/>
      <c r="R53" s="7"/>
      <c r="S53" s="7"/>
      <c r="T53" s="7"/>
      <c r="U53" s="7"/>
    </row>
    <row r="54" customFormat="false" ht="15" hidden="false" customHeight="false" outlineLevel="0" collapsed="false">
      <c r="A54" s="7" t="s">
        <v>2898</v>
      </c>
      <c r="B54" s="7"/>
      <c r="C54" s="7"/>
      <c r="D54" s="8"/>
      <c r="E54" s="9"/>
      <c r="F54" s="6" t="n">
        <v>1</v>
      </c>
      <c r="G54" s="7"/>
      <c r="H54" s="7"/>
      <c r="I54" s="7"/>
      <c r="J54" s="6"/>
      <c r="K54" s="7"/>
      <c r="L54" s="7"/>
      <c r="M54" s="7" t="s">
        <v>3440</v>
      </c>
      <c r="N54" s="7" t="s">
        <v>3364</v>
      </c>
      <c r="O54" s="7" t="s">
        <v>3452</v>
      </c>
      <c r="P54" s="7"/>
      <c r="Q54" s="7"/>
      <c r="R54" s="7"/>
      <c r="S54" s="7"/>
      <c r="T54" s="7"/>
      <c r="U54" s="7"/>
    </row>
    <row r="55" customFormat="false" ht="15" hidden="false" customHeight="false" outlineLevel="0" collapsed="false">
      <c r="A55" s="7" t="s">
        <v>611</v>
      </c>
      <c r="B55" s="7"/>
      <c r="C55" s="7"/>
      <c r="D55" s="8"/>
      <c r="E55" s="9"/>
      <c r="F55" s="6" t="n">
        <v>7</v>
      </c>
      <c r="G55" s="7"/>
      <c r="H55" s="7"/>
      <c r="I55" s="7"/>
      <c r="J55" s="6"/>
      <c r="K55" s="7"/>
      <c r="L55" s="7"/>
      <c r="M55" s="7" t="s">
        <v>3453</v>
      </c>
      <c r="N55" s="7" t="s">
        <v>3364</v>
      </c>
      <c r="O55" s="7" t="s">
        <v>3454</v>
      </c>
      <c r="P55" s="7"/>
      <c r="Q55" s="7"/>
      <c r="R55" s="7"/>
      <c r="S55" s="7"/>
      <c r="T55" s="7"/>
      <c r="U55" s="7"/>
    </row>
    <row r="56" customFormat="false" ht="15" hidden="false" customHeight="false" outlineLevel="0" collapsed="false">
      <c r="A56" s="7" t="s">
        <v>3191</v>
      </c>
      <c r="B56" s="7" t="s">
        <v>3429</v>
      </c>
      <c r="C56" s="7" t="s">
        <v>3448</v>
      </c>
      <c r="D56" s="8"/>
      <c r="E56" s="9" t="n">
        <v>1279000</v>
      </c>
      <c r="F56" s="6" t="n">
        <v>1</v>
      </c>
      <c r="G56" s="7"/>
      <c r="H56" s="7"/>
      <c r="I56" s="7"/>
      <c r="J56" s="6"/>
      <c r="K56" s="7"/>
      <c r="L56" s="7"/>
      <c r="M56" s="7" t="s">
        <v>3440</v>
      </c>
      <c r="N56" s="7" t="s">
        <v>3364</v>
      </c>
      <c r="O56" s="7" t="s">
        <v>3189</v>
      </c>
      <c r="P56" s="7"/>
      <c r="Q56" s="7"/>
      <c r="R56" s="7"/>
      <c r="S56" s="7"/>
      <c r="T56" s="7"/>
      <c r="U56" s="7"/>
    </row>
    <row r="57" customFormat="false" ht="15" hidden="false" customHeight="false" outlineLevel="0" collapsed="false">
      <c r="A57" s="7" t="s">
        <v>1239</v>
      </c>
      <c r="B57" s="7"/>
      <c r="C57" s="7"/>
      <c r="D57" s="8"/>
      <c r="E57" s="9"/>
      <c r="F57" s="6" t="n">
        <v>1</v>
      </c>
      <c r="G57" s="7"/>
      <c r="H57" s="7"/>
      <c r="I57" s="7"/>
      <c r="J57" s="6"/>
      <c r="K57" s="7"/>
      <c r="L57" s="7"/>
      <c r="M57" s="7" t="s">
        <v>3440</v>
      </c>
      <c r="N57" s="7" t="s">
        <v>3364</v>
      </c>
      <c r="O57" s="7" t="s">
        <v>3455</v>
      </c>
      <c r="P57" s="7"/>
      <c r="Q57" s="7"/>
      <c r="R57" s="7"/>
      <c r="S57" s="7"/>
      <c r="T57" s="7"/>
      <c r="U57" s="7"/>
    </row>
    <row r="58" customFormat="false" ht="15" hidden="false" customHeight="false" outlineLevel="0" collapsed="false">
      <c r="A58" s="7" t="s">
        <v>1174</v>
      </c>
      <c r="B58" s="7"/>
      <c r="C58" s="7"/>
      <c r="D58" s="8"/>
      <c r="E58" s="9"/>
      <c r="F58" s="6" t="n">
        <v>2</v>
      </c>
      <c r="G58" s="7"/>
      <c r="H58" s="7"/>
      <c r="I58" s="7"/>
      <c r="J58" s="6"/>
      <c r="K58" s="7"/>
      <c r="L58" s="7"/>
      <c r="M58" s="7" t="s">
        <v>3446</v>
      </c>
      <c r="N58" s="7" t="s">
        <v>3364</v>
      </c>
      <c r="O58" s="7" t="s">
        <v>3456</v>
      </c>
      <c r="P58" s="7"/>
      <c r="Q58" s="7"/>
      <c r="R58" s="7"/>
      <c r="S58" s="7"/>
      <c r="T58" s="7"/>
      <c r="U58" s="7"/>
    </row>
    <row r="59" customFormat="false" ht="15" hidden="false" customHeight="false" outlineLevel="0" collapsed="false">
      <c r="A59" s="7" t="s">
        <v>157</v>
      </c>
      <c r="B59" s="7"/>
      <c r="C59" s="7"/>
      <c r="D59" s="8"/>
      <c r="E59" s="9"/>
      <c r="F59" s="6" t="n">
        <v>1</v>
      </c>
      <c r="G59" s="7"/>
      <c r="H59" s="7"/>
      <c r="I59" s="7"/>
      <c r="J59" s="6"/>
      <c r="K59" s="7"/>
      <c r="L59" s="7"/>
      <c r="M59" s="7" t="s">
        <v>3440</v>
      </c>
      <c r="N59" s="7" t="s">
        <v>3364</v>
      </c>
      <c r="O59" s="7" t="s">
        <v>3457</v>
      </c>
      <c r="P59" s="7"/>
      <c r="Q59" s="7"/>
      <c r="R59" s="7"/>
      <c r="S59" s="7"/>
      <c r="T59" s="7"/>
      <c r="U59" s="7"/>
    </row>
    <row r="60" customFormat="false" ht="15" hidden="false" customHeight="false" outlineLevel="0" collapsed="false">
      <c r="A60" s="7" t="s">
        <v>1933</v>
      </c>
      <c r="B60" s="7"/>
      <c r="C60" s="7"/>
      <c r="D60" s="8"/>
      <c r="E60" s="9"/>
      <c r="F60" s="6" t="n">
        <v>1</v>
      </c>
      <c r="G60" s="7"/>
      <c r="H60" s="7"/>
      <c r="I60" s="7"/>
      <c r="J60" s="6"/>
      <c r="K60" s="7"/>
      <c r="L60" s="7"/>
      <c r="M60" s="7" t="s">
        <v>3440</v>
      </c>
      <c r="N60" s="7" t="s">
        <v>3364</v>
      </c>
      <c r="O60" s="7" t="s">
        <v>3458</v>
      </c>
      <c r="P60" s="7"/>
      <c r="Q60" s="7"/>
      <c r="R60" s="7"/>
      <c r="S60" s="7"/>
      <c r="T60" s="7"/>
      <c r="U60" s="7"/>
    </row>
    <row r="61" customFormat="false" ht="15" hidden="false" customHeight="false" outlineLevel="0" collapsed="false">
      <c r="A61" s="7" t="s">
        <v>689</v>
      </c>
      <c r="B61" s="7"/>
      <c r="C61" s="7"/>
      <c r="D61" s="8"/>
      <c r="E61" s="9"/>
      <c r="F61" s="6" t="n">
        <v>1</v>
      </c>
      <c r="G61" s="7"/>
      <c r="H61" s="7"/>
      <c r="I61" s="7"/>
      <c r="J61" s="6"/>
      <c r="K61" s="7"/>
      <c r="L61" s="7"/>
      <c r="M61" s="7" t="s">
        <v>3440</v>
      </c>
      <c r="N61" s="7" t="s">
        <v>3364</v>
      </c>
      <c r="O61" s="7" t="s">
        <v>3459</v>
      </c>
      <c r="P61" s="7"/>
      <c r="Q61" s="7"/>
      <c r="R61" s="7"/>
      <c r="S61" s="7"/>
      <c r="T61" s="7"/>
      <c r="U61" s="7"/>
    </row>
    <row r="62" customFormat="false" ht="15" hidden="false" customHeight="false" outlineLevel="0" collapsed="false">
      <c r="A62" s="7" t="s">
        <v>3121</v>
      </c>
      <c r="B62" s="7" t="s">
        <v>3429</v>
      </c>
      <c r="C62" s="7" t="s">
        <v>3448</v>
      </c>
      <c r="D62" s="8"/>
      <c r="E62" s="9" t="n">
        <v>500000</v>
      </c>
      <c r="F62" s="6" t="n">
        <v>1</v>
      </c>
      <c r="G62" s="7"/>
      <c r="H62" s="7"/>
      <c r="I62" s="7"/>
      <c r="J62" s="6"/>
      <c r="K62" s="7"/>
      <c r="L62" s="7"/>
      <c r="M62" s="7" t="s">
        <v>3440</v>
      </c>
      <c r="N62" s="7" t="s">
        <v>3364</v>
      </c>
      <c r="O62" s="7" t="s">
        <v>3119</v>
      </c>
      <c r="P62" s="7"/>
      <c r="Q62" s="7"/>
      <c r="R62" s="7"/>
      <c r="S62" s="7"/>
      <c r="T62" s="7"/>
      <c r="U62" s="7"/>
    </row>
    <row r="63" customFormat="false" ht="15" hidden="false" customHeight="false" outlineLevel="0" collapsed="false">
      <c r="A63" s="7" t="s">
        <v>2022</v>
      </c>
      <c r="B63" s="7"/>
      <c r="C63" s="7"/>
      <c r="D63" s="8"/>
      <c r="E63" s="9"/>
      <c r="F63" s="6" t="n">
        <v>1</v>
      </c>
      <c r="G63" s="7"/>
      <c r="H63" s="7"/>
      <c r="I63" s="7"/>
      <c r="J63" s="6"/>
      <c r="K63" s="7"/>
      <c r="L63" s="7"/>
      <c r="M63" s="7" t="s">
        <v>3440</v>
      </c>
      <c r="N63" s="7" t="s">
        <v>3364</v>
      </c>
      <c r="O63" s="7" t="s">
        <v>2020</v>
      </c>
      <c r="P63" s="7"/>
      <c r="Q63" s="7"/>
      <c r="R63" s="7"/>
      <c r="S63" s="7"/>
      <c r="T63" s="7"/>
      <c r="U63" s="7"/>
    </row>
    <row r="64" customFormat="false" ht="15" hidden="false" customHeight="false" outlineLevel="0" collapsed="false">
      <c r="A64" s="7" t="s">
        <v>1960</v>
      </c>
      <c r="B64" s="7"/>
      <c r="C64" s="7"/>
      <c r="D64" s="8"/>
      <c r="E64" s="9"/>
      <c r="F64" s="6" t="n">
        <v>2</v>
      </c>
      <c r="G64" s="7"/>
      <c r="H64" s="7"/>
      <c r="I64" s="7"/>
      <c r="J64" s="6"/>
      <c r="K64" s="7"/>
      <c r="L64" s="7"/>
      <c r="M64" s="7" t="s">
        <v>3446</v>
      </c>
      <c r="N64" s="7" t="s">
        <v>3364</v>
      </c>
      <c r="O64" s="7" t="s">
        <v>3460</v>
      </c>
      <c r="P64" s="7"/>
      <c r="Q64" s="7"/>
      <c r="R64" s="7"/>
      <c r="S64" s="7"/>
      <c r="T64" s="7"/>
      <c r="U64" s="7"/>
    </row>
    <row r="65" customFormat="false" ht="15" hidden="false" customHeight="false" outlineLevel="0" collapsed="false">
      <c r="A65" s="7" t="s">
        <v>2951</v>
      </c>
      <c r="B65" s="7" t="s">
        <v>3429</v>
      </c>
      <c r="C65" s="7" t="s">
        <v>3448</v>
      </c>
      <c r="D65" s="8"/>
      <c r="E65" s="9" t="n">
        <v>1450050</v>
      </c>
      <c r="F65" s="6" t="n">
        <v>14</v>
      </c>
      <c r="G65" s="7"/>
      <c r="H65" s="7"/>
      <c r="I65" s="7"/>
      <c r="J65" s="6"/>
      <c r="K65" s="7"/>
      <c r="L65" s="7"/>
      <c r="M65" s="7" t="s">
        <v>3461</v>
      </c>
      <c r="N65" s="7" t="s">
        <v>3364</v>
      </c>
      <c r="O65" s="7" t="s">
        <v>3462</v>
      </c>
      <c r="P65" s="7"/>
      <c r="Q65" s="7"/>
      <c r="R65" s="7"/>
      <c r="S65" s="7"/>
      <c r="T65" s="7"/>
      <c r="U65" s="7"/>
    </row>
    <row r="66" customFormat="false" ht="15" hidden="false" customHeight="false" outlineLevel="0" collapsed="false">
      <c r="A66" s="7" t="s">
        <v>3249</v>
      </c>
      <c r="B66" s="7"/>
      <c r="C66" s="7"/>
      <c r="D66" s="8"/>
      <c r="E66" s="9"/>
      <c r="F66" s="6" t="n">
        <v>12</v>
      </c>
      <c r="G66" s="7"/>
      <c r="H66" s="7"/>
      <c r="I66" s="7"/>
      <c r="J66" s="6"/>
      <c r="K66" s="7"/>
      <c r="L66" s="7"/>
      <c r="M66" s="7" t="s">
        <v>3463</v>
      </c>
      <c r="N66" s="7" t="s">
        <v>3364</v>
      </c>
      <c r="O66" s="7" t="s">
        <v>3464</v>
      </c>
      <c r="P66" s="7"/>
      <c r="Q66" s="7"/>
      <c r="R66" s="7"/>
      <c r="S66" s="7"/>
      <c r="T66" s="7"/>
      <c r="U66" s="7"/>
    </row>
    <row r="67" customFormat="false" ht="15" hidden="false" customHeight="false" outlineLevel="0" collapsed="false">
      <c r="A67" s="7" t="s">
        <v>3196</v>
      </c>
      <c r="B67" s="7"/>
      <c r="C67" s="7"/>
      <c r="D67" s="8"/>
      <c r="E67" s="9"/>
      <c r="F67" s="6" t="n">
        <v>10</v>
      </c>
      <c r="G67" s="7"/>
      <c r="H67" s="7"/>
      <c r="I67" s="7"/>
      <c r="J67" s="6"/>
      <c r="K67" s="7"/>
      <c r="L67" s="7"/>
      <c r="M67" s="7" t="s">
        <v>3465</v>
      </c>
      <c r="N67" s="7" t="s">
        <v>3364</v>
      </c>
      <c r="O67" s="7" t="s">
        <v>2352</v>
      </c>
      <c r="P67" s="7"/>
      <c r="Q67" s="7"/>
      <c r="R67" s="7"/>
      <c r="S67" s="7"/>
      <c r="T67" s="7"/>
      <c r="U67" s="7"/>
    </row>
    <row r="68" customFormat="false" ht="15" hidden="false" customHeight="false" outlineLevel="0" collapsed="false">
      <c r="A68" s="7" t="s">
        <v>3149</v>
      </c>
      <c r="B68" s="7" t="s">
        <v>3429</v>
      </c>
      <c r="C68" s="7" t="s">
        <v>3448</v>
      </c>
      <c r="D68" s="8"/>
      <c r="E68" s="9"/>
      <c r="F68" s="6" t="n">
        <v>3</v>
      </c>
      <c r="G68" s="7"/>
      <c r="H68" s="7"/>
      <c r="I68" s="7"/>
      <c r="J68" s="6"/>
      <c r="K68" s="7"/>
      <c r="L68" s="7"/>
      <c r="M68" s="7" t="s">
        <v>3466</v>
      </c>
      <c r="N68" s="7" t="s">
        <v>3364</v>
      </c>
      <c r="O68" s="7" t="s">
        <v>3146</v>
      </c>
      <c r="P68" s="7"/>
      <c r="Q68" s="7"/>
      <c r="R68" s="7"/>
      <c r="S68" s="7"/>
      <c r="T68" s="7"/>
      <c r="U68" s="7"/>
    </row>
    <row r="69" customFormat="false" ht="15" hidden="false" customHeight="false" outlineLevel="0" collapsed="false">
      <c r="A69" s="7" t="s">
        <v>1978</v>
      </c>
      <c r="B69" s="7"/>
      <c r="C69" s="7"/>
      <c r="D69" s="8"/>
      <c r="E69" s="9"/>
      <c r="F69" s="6" t="n">
        <v>13</v>
      </c>
      <c r="G69" s="7"/>
      <c r="H69" s="7"/>
      <c r="I69" s="7"/>
      <c r="J69" s="6"/>
      <c r="K69" s="7"/>
      <c r="L69" s="7"/>
      <c r="M69" s="7" t="s">
        <v>3467</v>
      </c>
      <c r="N69" s="7" t="s">
        <v>3364</v>
      </c>
      <c r="O69" s="7" t="s">
        <v>1975</v>
      </c>
      <c r="P69" s="7"/>
      <c r="Q69" s="7"/>
      <c r="R69" s="7"/>
      <c r="S69" s="7"/>
      <c r="T69" s="7"/>
      <c r="U69" s="7"/>
    </row>
    <row r="70" customFormat="false" ht="15" hidden="false" customHeight="false" outlineLevel="0" collapsed="false">
      <c r="A70" s="7" t="s">
        <v>1709</v>
      </c>
      <c r="B70" s="7"/>
      <c r="C70" s="7"/>
      <c r="D70" s="8"/>
      <c r="E70" s="9"/>
      <c r="F70" s="6" t="n">
        <v>1</v>
      </c>
      <c r="G70" s="7"/>
      <c r="H70" s="7"/>
      <c r="I70" s="7"/>
      <c r="J70" s="6"/>
      <c r="K70" s="7"/>
      <c r="L70" s="7"/>
      <c r="M70" s="7" t="s">
        <v>3440</v>
      </c>
      <c r="N70" s="7" t="s">
        <v>3364</v>
      </c>
      <c r="O70" s="7" t="s">
        <v>1705</v>
      </c>
      <c r="P70" s="7"/>
      <c r="Q70" s="7"/>
      <c r="R70" s="7"/>
      <c r="S70" s="7"/>
      <c r="T70" s="7"/>
      <c r="U70" s="7"/>
    </row>
    <row r="71" customFormat="false" ht="15" hidden="false" customHeight="false" outlineLevel="0" collapsed="false">
      <c r="A71" s="7" t="s">
        <v>1732</v>
      </c>
      <c r="B71" s="7"/>
      <c r="C71" s="7"/>
      <c r="D71" s="8"/>
      <c r="E71" s="9"/>
      <c r="F71" s="6" t="n">
        <v>1</v>
      </c>
      <c r="G71" s="7"/>
      <c r="H71" s="7"/>
      <c r="I71" s="7"/>
      <c r="J71" s="6"/>
      <c r="K71" s="7"/>
      <c r="L71" s="7"/>
      <c r="M71" s="7" t="s">
        <v>3440</v>
      </c>
      <c r="N71" s="7" t="s">
        <v>3364</v>
      </c>
      <c r="O71" s="7" t="s">
        <v>1728</v>
      </c>
      <c r="P71" s="7"/>
      <c r="Q71" s="7"/>
      <c r="R71" s="7"/>
      <c r="S71" s="7"/>
      <c r="T71" s="7"/>
      <c r="U71" s="7"/>
    </row>
    <row r="72" customFormat="false" ht="15" hidden="false" customHeight="false" outlineLevel="0" collapsed="false">
      <c r="A72" s="7" t="s">
        <v>1780</v>
      </c>
      <c r="B72" s="7"/>
      <c r="C72" s="7"/>
      <c r="D72" s="8"/>
      <c r="E72" s="9"/>
      <c r="F72" s="6" t="n">
        <v>1</v>
      </c>
      <c r="G72" s="7"/>
      <c r="H72" s="7"/>
      <c r="I72" s="7"/>
      <c r="J72" s="6"/>
      <c r="K72" s="7"/>
      <c r="L72" s="7"/>
      <c r="M72" s="7" t="s">
        <v>3440</v>
      </c>
      <c r="N72" s="7" t="s">
        <v>3364</v>
      </c>
      <c r="O72" s="7" t="s">
        <v>3468</v>
      </c>
      <c r="P72" s="7"/>
      <c r="Q72" s="7"/>
      <c r="R72" s="7"/>
      <c r="S72" s="7"/>
      <c r="T72" s="7"/>
      <c r="U72" s="7"/>
    </row>
    <row r="73" customFormat="false" ht="15" hidden="false" customHeight="false" outlineLevel="0" collapsed="false">
      <c r="A73" s="7" t="s">
        <v>1156</v>
      </c>
      <c r="B73" s="7"/>
      <c r="C73" s="7"/>
      <c r="D73" s="8"/>
      <c r="E73" s="9"/>
      <c r="F73" s="6" t="n">
        <v>1</v>
      </c>
      <c r="G73" s="7"/>
      <c r="H73" s="7"/>
      <c r="I73" s="7"/>
      <c r="J73" s="6"/>
      <c r="K73" s="7"/>
      <c r="L73" s="7"/>
      <c r="M73" s="7" t="s">
        <v>3440</v>
      </c>
      <c r="N73" s="7" t="s">
        <v>3364</v>
      </c>
      <c r="O73" s="7" t="s">
        <v>3469</v>
      </c>
      <c r="P73" s="7"/>
      <c r="Q73" s="7"/>
      <c r="R73" s="7"/>
      <c r="S73" s="7"/>
      <c r="T73" s="7"/>
      <c r="U73" s="7"/>
    </row>
    <row r="74" customFormat="false" ht="15" hidden="false" customHeight="false" outlineLevel="0" collapsed="false">
      <c r="A74" s="7" t="s">
        <v>1695</v>
      </c>
      <c r="B74" s="7"/>
      <c r="C74" s="7"/>
      <c r="D74" s="8"/>
      <c r="E74" s="9"/>
      <c r="F74" s="6" t="n">
        <v>2</v>
      </c>
      <c r="G74" s="7"/>
      <c r="H74" s="7"/>
      <c r="I74" s="7"/>
      <c r="J74" s="6"/>
      <c r="K74" s="7"/>
      <c r="L74" s="7"/>
      <c r="M74" s="7" t="s">
        <v>3446</v>
      </c>
      <c r="N74" s="7" t="s">
        <v>3364</v>
      </c>
      <c r="O74" s="7" t="s">
        <v>3470</v>
      </c>
      <c r="P74" s="7"/>
      <c r="Q74" s="7"/>
      <c r="R74" s="7"/>
      <c r="S74" s="7"/>
      <c r="T74" s="7"/>
      <c r="U74" s="7"/>
    </row>
    <row r="75" customFormat="false" ht="15" hidden="false" customHeight="false" outlineLevel="0" collapsed="false">
      <c r="A75" s="7" t="s">
        <v>3317</v>
      </c>
      <c r="B75" s="7" t="s">
        <v>3429</v>
      </c>
      <c r="C75" s="7" t="s">
        <v>3448</v>
      </c>
      <c r="D75" s="8"/>
      <c r="E75" s="9"/>
      <c r="F75" s="6" t="n">
        <v>2</v>
      </c>
      <c r="G75" s="7"/>
      <c r="H75" s="7"/>
      <c r="I75" s="7"/>
      <c r="J75" s="6"/>
      <c r="K75" s="7"/>
      <c r="L75" s="7"/>
      <c r="M75" s="7" t="s">
        <v>3446</v>
      </c>
      <c r="N75" s="7" t="s">
        <v>3364</v>
      </c>
      <c r="O75" s="7"/>
      <c r="P75" s="7"/>
      <c r="Q75" s="7"/>
      <c r="R75" s="7"/>
      <c r="S75" s="7"/>
      <c r="T75" s="7"/>
      <c r="U75" s="7"/>
    </row>
    <row r="76" customFormat="false" ht="15" hidden="false" customHeight="false" outlineLevel="0" collapsed="false">
      <c r="A76" s="7" t="s">
        <v>3471</v>
      </c>
      <c r="B76" s="7" t="s">
        <v>3353</v>
      </c>
      <c r="C76" s="7" t="s">
        <v>3472</v>
      </c>
      <c r="D76" s="8"/>
      <c r="E76" s="9" t="n">
        <v>22400</v>
      </c>
      <c r="F76" s="6" t="n">
        <v>1</v>
      </c>
      <c r="G76" s="7" t="s">
        <v>3355</v>
      </c>
      <c r="H76" s="7" t="s">
        <v>3473</v>
      </c>
      <c r="I76" s="7"/>
      <c r="J76" s="6"/>
      <c r="K76" s="7"/>
      <c r="L76" s="7"/>
      <c r="M76" s="7"/>
      <c r="N76" s="7" t="s">
        <v>3364</v>
      </c>
      <c r="O76" s="7"/>
      <c r="P76" s="7"/>
      <c r="Q76" s="7"/>
      <c r="R76" s="7" t="s">
        <v>3474</v>
      </c>
      <c r="S76" s="7"/>
      <c r="T76" s="7"/>
      <c r="U76" s="7"/>
    </row>
    <row r="77" customFormat="false" ht="15" hidden="false" customHeight="false" outlineLevel="0" collapsed="false">
      <c r="A77" s="7" t="s">
        <v>3475</v>
      </c>
      <c r="B77" s="7" t="s">
        <v>3353</v>
      </c>
      <c r="C77" s="7" t="s">
        <v>3472</v>
      </c>
      <c r="D77" s="8"/>
      <c r="E77" s="9" t="n">
        <v>1</v>
      </c>
      <c r="F77" s="6" t="n">
        <v>1</v>
      </c>
      <c r="G77" s="7" t="s">
        <v>3355</v>
      </c>
      <c r="H77" s="7" t="s">
        <v>3473</v>
      </c>
      <c r="I77" s="7"/>
      <c r="J77" s="6"/>
      <c r="K77" s="7"/>
      <c r="L77" s="7"/>
      <c r="M77" s="7"/>
      <c r="N77" s="7" t="s">
        <v>3364</v>
      </c>
      <c r="O77" s="7"/>
      <c r="P77" s="7"/>
      <c r="Q77" s="7"/>
      <c r="R77" s="7" t="s">
        <v>3474</v>
      </c>
      <c r="S77" s="7"/>
      <c r="T77" s="7"/>
      <c r="U77" s="7"/>
    </row>
    <row r="78" customFormat="false" ht="15" hidden="false" customHeight="false" outlineLevel="0" collapsed="false">
      <c r="A78" s="7" t="s">
        <v>3476</v>
      </c>
      <c r="B78" s="7" t="s">
        <v>3353</v>
      </c>
      <c r="C78" s="7" t="s">
        <v>3472</v>
      </c>
      <c r="D78" s="8"/>
      <c r="E78" s="9" t="n">
        <v>1</v>
      </c>
      <c r="F78" s="6" t="n">
        <v>1</v>
      </c>
      <c r="G78" s="7" t="s">
        <v>3355</v>
      </c>
      <c r="H78" s="7" t="s">
        <v>3473</v>
      </c>
      <c r="I78" s="7"/>
      <c r="J78" s="6"/>
      <c r="K78" s="7"/>
      <c r="L78" s="7"/>
      <c r="M78" s="7"/>
      <c r="N78" s="7" t="s">
        <v>3364</v>
      </c>
      <c r="O78" s="7"/>
      <c r="P78" s="7"/>
      <c r="Q78" s="7"/>
      <c r="R78" s="7" t="s">
        <v>3474</v>
      </c>
      <c r="S78" s="7"/>
      <c r="T78" s="7"/>
      <c r="U78" s="7"/>
    </row>
    <row r="79" customFormat="false" ht="15" hidden="false" customHeight="false" outlineLevel="0" collapsed="false">
      <c r="A79" s="7" t="s">
        <v>3477</v>
      </c>
      <c r="B79" s="7" t="s">
        <v>3353</v>
      </c>
      <c r="C79" s="7" t="s">
        <v>3478</v>
      </c>
      <c r="D79" s="8"/>
      <c r="E79" s="9" t="n">
        <v>790162</v>
      </c>
      <c r="F79" s="6" t="n">
        <v>1</v>
      </c>
      <c r="G79" s="7" t="s">
        <v>3355</v>
      </c>
      <c r="H79" s="7" t="s">
        <v>3473</v>
      </c>
      <c r="I79" s="7"/>
      <c r="J79" s="6"/>
      <c r="K79" s="7"/>
      <c r="L79" s="7"/>
      <c r="M79" s="7"/>
      <c r="N79" s="7" t="s">
        <v>3364</v>
      </c>
      <c r="O79" s="7"/>
      <c r="P79" s="7"/>
      <c r="Q79" s="7"/>
      <c r="R79" s="7" t="s">
        <v>3474</v>
      </c>
      <c r="S79" s="7"/>
      <c r="T79" s="7"/>
      <c r="U79" s="7"/>
    </row>
    <row r="80" customFormat="false" ht="15" hidden="false" customHeight="false" outlineLevel="0" collapsed="false">
      <c r="A80" s="7" t="s">
        <v>3479</v>
      </c>
      <c r="B80" s="7" t="s">
        <v>3353</v>
      </c>
      <c r="C80" s="7" t="s">
        <v>3478</v>
      </c>
      <c r="D80" s="8"/>
      <c r="E80" s="9" t="n">
        <v>491240</v>
      </c>
      <c r="F80" s="6" t="n">
        <v>1</v>
      </c>
      <c r="G80" s="7" t="s">
        <v>3355</v>
      </c>
      <c r="H80" s="7" t="s">
        <v>3473</v>
      </c>
      <c r="I80" s="7"/>
      <c r="J80" s="6"/>
      <c r="K80" s="7"/>
      <c r="L80" s="7"/>
      <c r="M80" s="7"/>
      <c r="N80" s="7" t="s">
        <v>3364</v>
      </c>
      <c r="O80" s="7"/>
      <c r="P80" s="7"/>
      <c r="Q80" s="7"/>
      <c r="R80" s="7" t="s">
        <v>3474</v>
      </c>
      <c r="S80" s="7"/>
      <c r="T80" s="7"/>
      <c r="U80" s="7"/>
    </row>
    <row r="81" customFormat="false" ht="15" hidden="false" customHeight="false" outlineLevel="0" collapsed="false">
      <c r="A81" s="7" t="s">
        <v>3480</v>
      </c>
      <c r="B81" s="7" t="s">
        <v>3353</v>
      </c>
      <c r="C81" s="7" t="s">
        <v>3478</v>
      </c>
      <c r="D81" s="8"/>
      <c r="E81" s="9" t="n">
        <v>629919</v>
      </c>
      <c r="F81" s="6" t="n">
        <v>1</v>
      </c>
      <c r="G81" s="7" t="s">
        <v>3355</v>
      </c>
      <c r="H81" s="7" t="s">
        <v>3473</v>
      </c>
      <c r="I81" s="7"/>
      <c r="J81" s="6"/>
      <c r="K81" s="7"/>
      <c r="L81" s="7"/>
      <c r="M81" s="7"/>
      <c r="N81" s="7" t="s">
        <v>3364</v>
      </c>
      <c r="O81" s="7"/>
      <c r="P81" s="7"/>
      <c r="Q81" s="7"/>
      <c r="R81" s="7" t="s">
        <v>3474</v>
      </c>
      <c r="S81" s="7"/>
      <c r="T81" s="7"/>
      <c r="U81" s="7"/>
    </row>
    <row r="82" customFormat="false" ht="15" hidden="false" customHeight="false" outlineLevel="0" collapsed="false">
      <c r="A82" s="7" t="s">
        <v>3481</v>
      </c>
      <c r="B82" s="7" t="s">
        <v>3353</v>
      </c>
      <c r="C82" s="7" t="s">
        <v>3478</v>
      </c>
      <c r="D82" s="8"/>
      <c r="E82" s="9" t="n">
        <v>618838</v>
      </c>
      <c r="F82" s="6" t="n">
        <v>1</v>
      </c>
      <c r="G82" s="7" t="s">
        <v>3355</v>
      </c>
      <c r="H82" s="7" t="s">
        <v>3473</v>
      </c>
      <c r="I82" s="7"/>
      <c r="J82" s="6"/>
      <c r="K82" s="7"/>
      <c r="L82" s="7"/>
      <c r="M82" s="7"/>
      <c r="N82" s="7" t="s">
        <v>3364</v>
      </c>
      <c r="O82" s="7"/>
      <c r="P82" s="7"/>
      <c r="Q82" s="7"/>
      <c r="R82" s="7" t="s">
        <v>3474</v>
      </c>
      <c r="S82" s="7"/>
      <c r="T82" s="7"/>
      <c r="U82" s="7"/>
    </row>
    <row r="83" customFormat="false" ht="15" hidden="false" customHeight="false" outlineLevel="0" collapsed="false">
      <c r="A83" s="7" t="s">
        <v>3482</v>
      </c>
      <c r="B83" s="7" t="s">
        <v>3353</v>
      </c>
      <c r="C83" s="7" t="s">
        <v>3472</v>
      </c>
      <c r="D83" s="8"/>
      <c r="E83" s="9" t="n">
        <v>1</v>
      </c>
      <c r="F83" s="6" t="n">
        <v>1</v>
      </c>
      <c r="G83" s="7" t="s">
        <v>3355</v>
      </c>
      <c r="H83" s="7" t="s">
        <v>3473</v>
      </c>
      <c r="I83" s="7"/>
      <c r="J83" s="6"/>
      <c r="K83" s="7"/>
      <c r="L83" s="7"/>
      <c r="M83" s="7"/>
      <c r="N83" s="7" t="s">
        <v>3364</v>
      </c>
      <c r="O83" s="7"/>
      <c r="P83" s="7"/>
      <c r="Q83" s="7"/>
      <c r="R83" s="7" t="s">
        <v>3474</v>
      </c>
      <c r="S83" s="7"/>
      <c r="T83" s="7"/>
      <c r="U83" s="7"/>
    </row>
    <row r="84" customFormat="false" ht="15" hidden="false" customHeight="false" outlineLevel="0" collapsed="false">
      <c r="A84" s="7" t="s">
        <v>3483</v>
      </c>
      <c r="B84" s="7" t="s">
        <v>3353</v>
      </c>
      <c r="C84" s="7" t="s">
        <v>3472</v>
      </c>
      <c r="D84" s="8"/>
      <c r="E84" s="9" t="n">
        <v>1</v>
      </c>
      <c r="F84" s="6" t="n">
        <v>1</v>
      </c>
      <c r="G84" s="7" t="s">
        <v>3355</v>
      </c>
      <c r="H84" s="7" t="s">
        <v>3473</v>
      </c>
      <c r="I84" s="7"/>
      <c r="J84" s="6"/>
      <c r="K84" s="7"/>
      <c r="L84" s="7"/>
      <c r="M84" s="7"/>
      <c r="N84" s="7" t="s">
        <v>3364</v>
      </c>
      <c r="O84" s="7"/>
      <c r="P84" s="7"/>
      <c r="Q84" s="7"/>
      <c r="R84" s="7" t="s">
        <v>3474</v>
      </c>
      <c r="S84" s="7"/>
      <c r="T84" s="7"/>
      <c r="U84" s="7"/>
    </row>
    <row r="85" customFormat="false" ht="15" hidden="false" customHeight="false" outlineLevel="0" collapsed="false">
      <c r="A85" s="7" t="s">
        <v>3484</v>
      </c>
      <c r="B85" s="7" t="s">
        <v>3353</v>
      </c>
      <c r="C85" s="7" t="s">
        <v>3472</v>
      </c>
      <c r="D85" s="8"/>
      <c r="E85" s="9" t="n">
        <v>1</v>
      </c>
      <c r="F85" s="6" t="n">
        <v>1</v>
      </c>
      <c r="G85" s="7" t="s">
        <v>3355</v>
      </c>
      <c r="H85" s="7" t="s">
        <v>3473</v>
      </c>
      <c r="I85" s="7"/>
      <c r="J85" s="6"/>
      <c r="K85" s="7"/>
      <c r="L85" s="7"/>
      <c r="M85" s="7"/>
      <c r="N85" s="7" t="s">
        <v>3364</v>
      </c>
      <c r="O85" s="7"/>
      <c r="P85" s="7"/>
      <c r="Q85" s="7"/>
      <c r="R85" s="7" t="s">
        <v>3474</v>
      </c>
      <c r="S85" s="7"/>
      <c r="T85" s="7"/>
      <c r="U85" s="7"/>
    </row>
    <row r="86" customFormat="false" ht="15" hidden="false" customHeight="false" outlineLevel="0" collapsed="false">
      <c r="A86" s="7" t="s">
        <v>3485</v>
      </c>
      <c r="B86" s="7" t="s">
        <v>3353</v>
      </c>
      <c r="C86" s="7" t="s">
        <v>3472</v>
      </c>
      <c r="D86" s="8"/>
      <c r="E86" s="9" t="n">
        <v>1</v>
      </c>
      <c r="F86" s="6" t="n">
        <v>1</v>
      </c>
      <c r="G86" s="7" t="s">
        <v>3355</v>
      </c>
      <c r="H86" s="7" t="s">
        <v>3473</v>
      </c>
      <c r="I86" s="7"/>
      <c r="J86" s="6"/>
      <c r="K86" s="7"/>
      <c r="L86" s="7"/>
      <c r="M86" s="7"/>
      <c r="N86" s="7" t="s">
        <v>3364</v>
      </c>
      <c r="O86" s="7"/>
      <c r="P86" s="7"/>
      <c r="Q86" s="7"/>
      <c r="R86" s="7" t="s">
        <v>3474</v>
      </c>
      <c r="S86" s="7"/>
      <c r="T86" s="7"/>
      <c r="U86" s="7"/>
    </row>
    <row r="87" customFormat="false" ht="15" hidden="false" customHeight="false" outlineLevel="0" collapsed="false">
      <c r="A87" s="7" t="s">
        <v>3486</v>
      </c>
      <c r="B87" s="7" t="s">
        <v>3353</v>
      </c>
      <c r="C87" s="7" t="s">
        <v>3478</v>
      </c>
      <c r="D87" s="8"/>
      <c r="E87" s="9" t="n">
        <v>2071050</v>
      </c>
      <c r="F87" s="6" t="n">
        <v>8</v>
      </c>
      <c r="G87" s="7" t="s">
        <v>3355</v>
      </c>
      <c r="H87" s="7" t="s">
        <v>3473</v>
      </c>
      <c r="I87" s="7"/>
      <c r="J87" s="6"/>
      <c r="K87" s="7"/>
      <c r="L87" s="7"/>
      <c r="M87" s="7"/>
      <c r="N87" s="7" t="s">
        <v>3364</v>
      </c>
      <c r="O87" s="7"/>
      <c r="P87" s="7"/>
      <c r="Q87" s="7"/>
      <c r="R87" s="7" t="s">
        <v>3474</v>
      </c>
      <c r="S87" s="7"/>
      <c r="T87" s="7"/>
      <c r="U87" s="7"/>
    </row>
    <row r="88" customFormat="false" ht="15" hidden="false" customHeight="false" outlineLevel="0" collapsed="false">
      <c r="A88" s="7" t="s">
        <v>3487</v>
      </c>
      <c r="B88" s="7" t="s">
        <v>3353</v>
      </c>
      <c r="C88" s="7" t="s">
        <v>3478</v>
      </c>
      <c r="D88" s="8"/>
      <c r="E88" s="9" t="n">
        <v>1</v>
      </c>
      <c r="F88" s="6" t="n">
        <v>1</v>
      </c>
      <c r="G88" s="7" t="s">
        <v>3355</v>
      </c>
      <c r="H88" s="7" t="s">
        <v>3473</v>
      </c>
      <c r="I88" s="7"/>
      <c r="J88" s="6"/>
      <c r="K88" s="7"/>
      <c r="L88" s="7"/>
      <c r="M88" s="7"/>
      <c r="N88" s="7" t="s">
        <v>3364</v>
      </c>
      <c r="O88" s="7"/>
      <c r="P88" s="7"/>
      <c r="Q88" s="7"/>
      <c r="R88" s="7" t="s">
        <v>3474</v>
      </c>
      <c r="S88" s="7"/>
      <c r="T88" s="7"/>
      <c r="U88" s="7"/>
    </row>
    <row r="89" customFormat="false" ht="15" hidden="false" customHeight="false" outlineLevel="0" collapsed="false">
      <c r="A89" s="7" t="s">
        <v>3488</v>
      </c>
      <c r="B89" s="7" t="s">
        <v>3353</v>
      </c>
      <c r="C89" s="7" t="s">
        <v>3478</v>
      </c>
      <c r="D89" s="8"/>
      <c r="E89" s="9" t="n">
        <v>1</v>
      </c>
      <c r="F89" s="6" t="n">
        <v>1</v>
      </c>
      <c r="G89" s="7" t="s">
        <v>3355</v>
      </c>
      <c r="H89" s="7" t="s">
        <v>3473</v>
      </c>
      <c r="I89" s="7"/>
      <c r="J89" s="6"/>
      <c r="K89" s="7"/>
      <c r="L89" s="7"/>
      <c r="M89" s="7"/>
      <c r="N89" s="7" t="s">
        <v>3364</v>
      </c>
      <c r="O89" s="7"/>
      <c r="P89" s="7"/>
      <c r="Q89" s="7"/>
      <c r="R89" s="7" t="s">
        <v>3474</v>
      </c>
      <c r="S89" s="7"/>
      <c r="T89" s="7"/>
      <c r="U89" s="7"/>
    </row>
    <row r="90" customFormat="false" ht="15" hidden="false" customHeight="false" outlineLevel="0" collapsed="false">
      <c r="A90" s="7" t="s">
        <v>3489</v>
      </c>
      <c r="B90" s="7" t="s">
        <v>3353</v>
      </c>
      <c r="C90" s="7" t="s">
        <v>3478</v>
      </c>
      <c r="D90" s="8"/>
      <c r="E90" s="9" t="n">
        <v>1</v>
      </c>
      <c r="F90" s="6" t="n">
        <v>1</v>
      </c>
      <c r="G90" s="7" t="s">
        <v>3355</v>
      </c>
      <c r="H90" s="7" t="s">
        <v>3473</v>
      </c>
      <c r="I90" s="7"/>
      <c r="J90" s="6"/>
      <c r="K90" s="7"/>
      <c r="L90" s="7"/>
      <c r="M90" s="7"/>
      <c r="N90" s="7" t="s">
        <v>3364</v>
      </c>
      <c r="O90" s="7"/>
      <c r="P90" s="7"/>
      <c r="Q90" s="7"/>
      <c r="R90" s="7" t="s">
        <v>3474</v>
      </c>
      <c r="S90" s="7"/>
      <c r="T90" s="7"/>
      <c r="U90" s="7"/>
    </row>
    <row r="91" customFormat="false" ht="15" hidden="false" customHeight="false" outlineLevel="0" collapsed="false">
      <c r="A91" s="7" t="s">
        <v>3490</v>
      </c>
      <c r="B91" s="7" t="s">
        <v>3353</v>
      </c>
      <c r="C91" s="7" t="s">
        <v>3478</v>
      </c>
      <c r="D91" s="8"/>
      <c r="E91" s="9" t="n">
        <v>1</v>
      </c>
      <c r="F91" s="6" t="n">
        <v>1</v>
      </c>
      <c r="G91" s="7" t="s">
        <v>3355</v>
      </c>
      <c r="H91" s="7" t="s">
        <v>3473</v>
      </c>
      <c r="I91" s="7"/>
      <c r="J91" s="6"/>
      <c r="K91" s="7"/>
      <c r="L91" s="7"/>
      <c r="M91" s="7"/>
      <c r="N91" s="7" t="s">
        <v>3364</v>
      </c>
      <c r="O91" s="7"/>
      <c r="P91" s="7"/>
      <c r="Q91" s="7"/>
      <c r="R91" s="7" t="s">
        <v>3474</v>
      </c>
      <c r="S91" s="7"/>
      <c r="T91" s="7"/>
      <c r="U91" s="7"/>
    </row>
    <row r="92" customFormat="false" ht="15" hidden="false" customHeight="false" outlineLevel="0" collapsed="false">
      <c r="A92" s="7" t="s">
        <v>3491</v>
      </c>
      <c r="B92" s="7" t="s">
        <v>3353</v>
      </c>
      <c r="C92" s="7" t="s">
        <v>3478</v>
      </c>
      <c r="D92" s="8"/>
      <c r="E92" s="9" t="n">
        <v>1</v>
      </c>
      <c r="F92" s="6" t="n">
        <v>1</v>
      </c>
      <c r="G92" s="7" t="s">
        <v>3355</v>
      </c>
      <c r="H92" s="7" t="s">
        <v>3473</v>
      </c>
      <c r="I92" s="7"/>
      <c r="J92" s="6"/>
      <c r="K92" s="7"/>
      <c r="L92" s="7"/>
      <c r="M92" s="7"/>
      <c r="N92" s="7" t="s">
        <v>3364</v>
      </c>
      <c r="O92" s="7"/>
      <c r="P92" s="7"/>
      <c r="Q92" s="7"/>
      <c r="R92" s="7" t="s">
        <v>3474</v>
      </c>
      <c r="S92" s="7"/>
      <c r="T92" s="7"/>
      <c r="U92" s="7"/>
    </row>
    <row r="93" customFormat="false" ht="15" hidden="false" customHeight="false" outlineLevel="0" collapsed="false">
      <c r="A93" s="7" t="s">
        <v>3492</v>
      </c>
      <c r="B93" s="7" t="s">
        <v>3353</v>
      </c>
      <c r="C93" s="7" t="s">
        <v>3478</v>
      </c>
      <c r="D93" s="8"/>
      <c r="E93" s="9" t="n">
        <v>1</v>
      </c>
      <c r="F93" s="6" t="n">
        <v>1</v>
      </c>
      <c r="G93" s="7" t="s">
        <v>3355</v>
      </c>
      <c r="H93" s="7" t="s">
        <v>3473</v>
      </c>
      <c r="I93" s="7"/>
      <c r="J93" s="6"/>
      <c r="K93" s="7"/>
      <c r="L93" s="7"/>
      <c r="M93" s="7"/>
      <c r="N93" s="7" t="s">
        <v>3364</v>
      </c>
      <c r="O93" s="7"/>
      <c r="P93" s="7"/>
      <c r="Q93" s="7"/>
      <c r="R93" s="7" t="s">
        <v>3474</v>
      </c>
      <c r="S93" s="7"/>
      <c r="T93" s="7"/>
      <c r="U93" s="7"/>
    </row>
    <row r="94" customFormat="false" ht="15" hidden="false" customHeight="false" outlineLevel="0" collapsed="false">
      <c r="A94" s="7" t="s">
        <v>3493</v>
      </c>
      <c r="B94" s="7" t="s">
        <v>3353</v>
      </c>
      <c r="C94" s="7" t="s">
        <v>3478</v>
      </c>
      <c r="D94" s="8"/>
      <c r="E94" s="9" t="n">
        <v>1</v>
      </c>
      <c r="F94" s="6" t="n">
        <v>1</v>
      </c>
      <c r="G94" s="7" t="s">
        <v>3355</v>
      </c>
      <c r="H94" s="7" t="s">
        <v>3473</v>
      </c>
      <c r="I94" s="7"/>
      <c r="J94" s="6"/>
      <c r="K94" s="7"/>
      <c r="L94" s="7"/>
      <c r="M94" s="7"/>
      <c r="N94" s="7" t="s">
        <v>3364</v>
      </c>
      <c r="O94" s="7"/>
      <c r="P94" s="7"/>
      <c r="Q94" s="7"/>
      <c r="R94" s="7" t="s">
        <v>3474</v>
      </c>
      <c r="S94" s="7"/>
      <c r="T94" s="7"/>
      <c r="U94" s="7"/>
    </row>
    <row r="95" customFormat="false" ht="15" hidden="false" customHeight="false" outlineLevel="0" collapsed="false">
      <c r="A95" s="7" t="s">
        <v>3494</v>
      </c>
      <c r="B95" s="7" t="s">
        <v>3353</v>
      </c>
      <c r="C95" s="7" t="s">
        <v>3478</v>
      </c>
      <c r="D95" s="8"/>
      <c r="E95" s="9" t="n">
        <v>1</v>
      </c>
      <c r="F95" s="6" t="n">
        <v>1</v>
      </c>
      <c r="G95" s="7" t="s">
        <v>3355</v>
      </c>
      <c r="H95" s="7" t="s">
        <v>3473</v>
      </c>
      <c r="I95" s="7"/>
      <c r="J95" s="6"/>
      <c r="K95" s="7"/>
      <c r="L95" s="7"/>
      <c r="M95" s="7"/>
      <c r="N95" s="7" t="s">
        <v>3364</v>
      </c>
      <c r="O95" s="7"/>
      <c r="P95" s="7"/>
      <c r="Q95" s="7"/>
      <c r="R95" s="7" t="s">
        <v>3474</v>
      </c>
      <c r="S95" s="7"/>
      <c r="T95" s="7"/>
      <c r="U95" s="7"/>
    </row>
    <row r="96" customFormat="false" ht="15" hidden="false" customHeight="false" outlineLevel="0" collapsed="false">
      <c r="A96" s="7" t="s">
        <v>3495</v>
      </c>
      <c r="B96" s="7" t="s">
        <v>3353</v>
      </c>
      <c r="C96" s="7" t="s">
        <v>3478</v>
      </c>
      <c r="D96" s="8"/>
      <c r="E96" s="9" t="n">
        <v>1</v>
      </c>
      <c r="F96" s="6" t="n">
        <v>1</v>
      </c>
      <c r="G96" s="7" t="s">
        <v>3355</v>
      </c>
      <c r="H96" s="7" t="s">
        <v>3473</v>
      </c>
      <c r="I96" s="7"/>
      <c r="J96" s="6"/>
      <c r="K96" s="7"/>
      <c r="L96" s="7"/>
      <c r="M96" s="7"/>
      <c r="N96" s="7" t="s">
        <v>3364</v>
      </c>
      <c r="O96" s="7"/>
      <c r="P96" s="7"/>
      <c r="Q96" s="7"/>
      <c r="R96" s="7" t="s">
        <v>3474</v>
      </c>
      <c r="S96" s="7"/>
      <c r="T96" s="7"/>
      <c r="U96" s="7"/>
    </row>
    <row r="97" customFormat="false" ht="15" hidden="false" customHeight="false" outlineLevel="0" collapsed="false">
      <c r="A97" s="7" t="s">
        <v>3496</v>
      </c>
      <c r="B97" s="7" t="s">
        <v>3353</v>
      </c>
      <c r="C97" s="7" t="s">
        <v>3478</v>
      </c>
      <c r="D97" s="8"/>
      <c r="E97" s="9" t="n">
        <v>1</v>
      </c>
      <c r="F97" s="6" t="n">
        <v>1</v>
      </c>
      <c r="G97" s="7" t="s">
        <v>3355</v>
      </c>
      <c r="H97" s="7" t="s">
        <v>3473</v>
      </c>
      <c r="I97" s="7"/>
      <c r="J97" s="6"/>
      <c r="K97" s="7"/>
      <c r="L97" s="7"/>
      <c r="M97" s="7"/>
      <c r="N97" s="7" t="s">
        <v>3364</v>
      </c>
      <c r="O97" s="7"/>
      <c r="P97" s="7"/>
      <c r="Q97" s="7"/>
      <c r="R97" s="7" t="s">
        <v>3474</v>
      </c>
      <c r="S97" s="7"/>
      <c r="T97" s="7"/>
      <c r="U97" s="7"/>
    </row>
    <row r="98" customFormat="false" ht="15" hidden="false" customHeight="false" outlineLevel="0" collapsed="false">
      <c r="A98" s="7" t="s">
        <v>3497</v>
      </c>
      <c r="B98" s="7" t="s">
        <v>3353</v>
      </c>
      <c r="C98" s="7" t="s">
        <v>3478</v>
      </c>
      <c r="D98" s="8"/>
      <c r="E98" s="9" t="n">
        <v>1</v>
      </c>
      <c r="F98" s="6" t="n">
        <v>1</v>
      </c>
      <c r="G98" s="7" t="s">
        <v>3355</v>
      </c>
      <c r="H98" s="7" t="s">
        <v>3473</v>
      </c>
      <c r="I98" s="7"/>
      <c r="J98" s="6"/>
      <c r="K98" s="7"/>
      <c r="L98" s="7"/>
      <c r="M98" s="7"/>
      <c r="N98" s="7" t="s">
        <v>3364</v>
      </c>
      <c r="O98" s="7"/>
      <c r="P98" s="7"/>
      <c r="Q98" s="7"/>
      <c r="R98" s="7" t="s">
        <v>3474</v>
      </c>
      <c r="S98" s="7"/>
      <c r="T98" s="7"/>
      <c r="U98" s="7"/>
    </row>
    <row r="99" customFormat="false" ht="15" hidden="false" customHeight="false" outlineLevel="0" collapsed="false">
      <c r="A99" s="7" t="s">
        <v>3498</v>
      </c>
      <c r="B99" s="7" t="s">
        <v>3353</v>
      </c>
      <c r="C99" s="7" t="s">
        <v>3354</v>
      </c>
      <c r="D99" s="8" t="n">
        <v>47.47</v>
      </c>
      <c r="E99" s="9" t="n">
        <v>378000000</v>
      </c>
      <c r="F99" s="6" t="n">
        <v>18</v>
      </c>
      <c r="G99" s="7" t="s">
        <v>3355</v>
      </c>
      <c r="H99" s="7" t="s">
        <v>3356</v>
      </c>
      <c r="I99" s="7"/>
      <c r="J99" s="6"/>
      <c r="K99" s="7"/>
      <c r="L99" s="7"/>
      <c r="M99" s="7" t="s">
        <v>3499</v>
      </c>
      <c r="N99" s="7" t="s">
        <v>3364</v>
      </c>
      <c r="O99" s="7" t="s">
        <v>3402</v>
      </c>
      <c r="P99" s="7" t="s">
        <v>3403</v>
      </c>
      <c r="Q99" s="7" t="s">
        <v>3500</v>
      </c>
      <c r="R99" s="7" t="s">
        <v>3501</v>
      </c>
      <c r="S99" s="7" t="s">
        <v>3374</v>
      </c>
      <c r="T99" s="7" t="s">
        <v>3360</v>
      </c>
      <c r="U99" s="7"/>
    </row>
  </sheetData>
  <autoFilter ref="A1:U99"/>
  <dataValidations count="6">
    <dataValidation allowBlank="true" errorStyle="stop" operator="between" showDropDown="false" showErrorMessage="false" showInputMessage="false" sqref="G2:G99" type="list">
      <formula1>Listas!$X$2:$X$7</formula1>
      <formula2>0</formula2>
    </dataValidation>
    <dataValidation allowBlank="true" errorStyle="stop" operator="between" showDropDown="false" showErrorMessage="false" showInputMessage="false" sqref="H2:H99" type="list">
      <formula1>Listas!$Y$2:$Y$4</formula1>
      <formula2>0</formula2>
    </dataValidation>
    <dataValidation allowBlank="true" errorStyle="stop" operator="between" showDropDown="false" showErrorMessage="false" showInputMessage="false" sqref="N2:N99" type="list">
      <formula1>Listas!$Z$2:$Z$7</formula1>
      <formula2>0</formula2>
    </dataValidation>
    <dataValidation allowBlank="true" errorStyle="stop" operator="between" showDropDown="false" showErrorMessage="false" showInputMessage="false" sqref="Q2:Q99" type="list">
      <formula1>Listas!$J$2:$J$16</formula1>
      <formula2>0</formula2>
    </dataValidation>
    <dataValidation allowBlank="true" errorStyle="stop" operator="between" showDropDown="false" showErrorMessage="false" showInputMessage="false" sqref="P2:P99" type="list">
      <formula1>Listas!$AB$2:$AB$12</formula1>
      <formula2>0</formula2>
    </dataValidation>
    <dataValidation allowBlank="true" errorStyle="stop" operator="between" showDropDown="false" showErrorMessage="false" showInputMessage="false" sqref="U2:U99" type="list">
      <formula1>Listas!$T$2:$T$5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6E52"/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5" min="3" style="0" width="11"/>
    <col collapsed="false" customWidth="true" hidden="false" outlineLevel="0" max="6" min="6" style="0" width="12"/>
    <col collapsed="false" customWidth="true" hidden="false" outlineLevel="0" max="7" min="7" style="0" width="17"/>
    <col collapsed="false" customWidth="true" hidden="false" outlineLevel="0" max="8" min="8" style="0" width="11"/>
    <col collapsed="false" customWidth="true" hidden="false" outlineLevel="0" max="9" min="9" style="0" width="19"/>
    <col collapsed="false" customWidth="true" hidden="false" outlineLevel="0" max="10" min="10" style="0" width="11"/>
    <col collapsed="false" customWidth="true" hidden="false" outlineLevel="0" max="11" min="11" style="0" width="13"/>
  </cols>
  <sheetData>
    <row r="1" customFormat="false" ht="30" hidden="false" customHeight="true" outlineLevel="0" collapsed="false">
      <c r="A1" s="4" t="s">
        <v>3502</v>
      </c>
      <c r="B1" s="4" t="s">
        <v>3503</v>
      </c>
      <c r="C1" s="4" t="s">
        <v>3348</v>
      </c>
      <c r="D1" s="4" t="s">
        <v>3504</v>
      </c>
      <c r="E1" s="4" t="s">
        <v>3505</v>
      </c>
      <c r="F1" s="4" t="s">
        <v>3506</v>
      </c>
      <c r="G1" s="4" t="s">
        <v>3507</v>
      </c>
      <c r="H1" s="4" t="s">
        <v>3344</v>
      </c>
      <c r="I1" s="4" t="s">
        <v>3351</v>
      </c>
      <c r="J1" s="4" t="s">
        <v>3343</v>
      </c>
      <c r="K1" s="4" t="s">
        <v>3508</v>
      </c>
    </row>
    <row r="2" customFormat="false" ht="15" hidden="false" customHeight="false" outlineLevel="0" collapsed="false">
      <c r="A2" s="7" t="s">
        <v>2618</v>
      </c>
      <c r="B2" s="7" t="s">
        <v>2615</v>
      </c>
      <c r="C2" s="7" t="s">
        <v>3373</v>
      </c>
      <c r="D2" s="7" t="s">
        <v>3417</v>
      </c>
      <c r="E2" s="7" t="s">
        <v>3509</v>
      </c>
      <c r="F2" s="6" t="n">
        <v>2</v>
      </c>
      <c r="G2" s="9" t="n">
        <v>540000</v>
      </c>
      <c r="H2" s="7" t="s">
        <v>3510</v>
      </c>
      <c r="I2" s="7"/>
      <c r="J2" s="7"/>
      <c r="K2" s="7" t="s">
        <v>3511</v>
      </c>
    </row>
    <row r="3" customFormat="false" ht="15" hidden="false" customHeight="false" outlineLevel="0" collapsed="false">
      <c r="A3" s="7" t="s">
        <v>2634</v>
      </c>
      <c r="B3" s="7" t="s">
        <v>2631</v>
      </c>
      <c r="C3" s="7" t="s">
        <v>3373</v>
      </c>
      <c r="D3" s="7" t="s">
        <v>3418</v>
      </c>
      <c r="E3" s="7" t="s">
        <v>3512</v>
      </c>
      <c r="F3" s="6" t="n">
        <v>2</v>
      </c>
      <c r="G3" s="9" t="n">
        <v>324000</v>
      </c>
      <c r="H3" s="7" t="s">
        <v>3510</v>
      </c>
      <c r="I3" s="7"/>
      <c r="J3" s="7"/>
      <c r="K3" s="7" t="s">
        <v>3513</v>
      </c>
    </row>
    <row r="4" customFormat="false" ht="15" hidden="false" customHeight="false" outlineLevel="0" collapsed="false">
      <c r="A4" s="7" t="s">
        <v>2658</v>
      </c>
      <c r="B4" s="7" t="s">
        <v>2655</v>
      </c>
      <c r="C4" s="7" t="s">
        <v>3373</v>
      </c>
      <c r="D4" s="7" t="s">
        <v>3419</v>
      </c>
      <c r="E4" s="7" t="s">
        <v>3514</v>
      </c>
      <c r="F4" s="6" t="n">
        <v>4</v>
      </c>
      <c r="G4" s="9" t="n">
        <v>269997</v>
      </c>
      <c r="H4" s="7" t="s">
        <v>3510</v>
      </c>
      <c r="I4" s="7"/>
      <c r="J4" s="7"/>
      <c r="K4" s="7" t="s">
        <v>3515</v>
      </c>
    </row>
    <row r="5" customFormat="false" ht="15" hidden="false" customHeight="false" outlineLevel="0" collapsed="false">
      <c r="A5" s="7" t="s">
        <v>2685</v>
      </c>
      <c r="B5" s="7" t="s">
        <v>2683</v>
      </c>
      <c r="C5" s="7" t="s">
        <v>3373</v>
      </c>
      <c r="D5" s="7" t="s">
        <v>3420</v>
      </c>
      <c r="E5" s="7" t="s">
        <v>3516</v>
      </c>
      <c r="F5" s="6" t="n">
        <v>3</v>
      </c>
      <c r="G5" s="9" t="n">
        <v>339999</v>
      </c>
      <c r="H5" s="7" t="s">
        <v>3510</v>
      </c>
      <c r="I5" s="7"/>
      <c r="J5" s="7"/>
      <c r="K5" s="7" t="s">
        <v>3517</v>
      </c>
    </row>
    <row r="6" customFormat="false" ht="15" hidden="false" customHeight="false" outlineLevel="0" collapsed="false">
      <c r="A6" s="7" t="s">
        <v>2702</v>
      </c>
      <c r="B6" s="7" t="s">
        <v>2700</v>
      </c>
      <c r="C6" s="7" t="s">
        <v>3373</v>
      </c>
      <c r="D6" s="7" t="s">
        <v>3421</v>
      </c>
      <c r="E6" s="7" t="s">
        <v>3518</v>
      </c>
      <c r="F6" s="6" t="n">
        <v>2</v>
      </c>
      <c r="G6" s="9" t="n">
        <v>130000</v>
      </c>
      <c r="H6" s="7" t="s">
        <v>3510</v>
      </c>
      <c r="I6" s="7"/>
      <c r="J6" s="7"/>
      <c r="K6" s="7" t="s">
        <v>3519</v>
      </c>
    </row>
    <row r="7" customFormat="false" ht="15" hidden="false" customHeight="false" outlineLevel="0" collapsed="false">
      <c r="A7" s="7" t="s">
        <v>2714</v>
      </c>
      <c r="B7" s="7" t="s">
        <v>2712</v>
      </c>
      <c r="C7" s="7" t="s">
        <v>3373</v>
      </c>
      <c r="D7" s="7" t="s">
        <v>3422</v>
      </c>
      <c r="E7" s="7" t="s">
        <v>3520</v>
      </c>
      <c r="F7" s="6" t="n">
        <v>3</v>
      </c>
      <c r="G7" s="9" t="n">
        <v>243001</v>
      </c>
      <c r="H7" s="7" t="s">
        <v>3510</v>
      </c>
      <c r="I7" s="7"/>
      <c r="J7" s="7"/>
      <c r="K7" s="7" t="s">
        <v>3521</v>
      </c>
    </row>
    <row r="8" customFormat="false" ht="15" hidden="false" customHeight="false" outlineLevel="0" collapsed="false">
      <c r="A8" s="7" t="s">
        <v>2731</v>
      </c>
      <c r="B8" s="7" t="s">
        <v>2729</v>
      </c>
      <c r="C8" s="7" t="s">
        <v>3373</v>
      </c>
      <c r="D8" s="7" t="s">
        <v>3423</v>
      </c>
      <c r="E8" s="7" t="s">
        <v>3522</v>
      </c>
      <c r="F8" s="6" t="n">
        <v>2</v>
      </c>
      <c r="G8" s="9" t="n">
        <v>110000</v>
      </c>
      <c r="H8" s="7" t="s">
        <v>3510</v>
      </c>
      <c r="I8" s="7"/>
      <c r="J8" s="7"/>
      <c r="K8" s="7" t="s">
        <v>3523</v>
      </c>
    </row>
    <row r="9" customFormat="false" ht="15" hidden="false" customHeight="false" outlineLevel="0" collapsed="false">
      <c r="A9" s="7" t="s">
        <v>3077</v>
      </c>
      <c r="B9" s="7" t="s">
        <v>3106</v>
      </c>
      <c r="C9" s="7" t="s">
        <v>3373</v>
      </c>
      <c r="D9" s="7" t="s">
        <v>3103</v>
      </c>
      <c r="E9" s="7" t="s">
        <v>3524</v>
      </c>
      <c r="F9" s="6" t="n">
        <v>2</v>
      </c>
      <c r="G9" s="9" t="n">
        <v>367500</v>
      </c>
      <c r="H9" s="7" t="s">
        <v>3525</v>
      </c>
      <c r="I9" s="7"/>
      <c r="J9" s="7" t="s">
        <v>3526</v>
      </c>
      <c r="K9" s="7" t="s">
        <v>3527</v>
      </c>
    </row>
    <row r="10" customFormat="false" ht="15" hidden="false" customHeight="false" outlineLevel="0" collapsed="false">
      <c r="A10" s="7" t="s">
        <v>3092</v>
      </c>
      <c r="B10" s="7" t="s">
        <v>3106</v>
      </c>
      <c r="C10" s="7" t="s">
        <v>3373</v>
      </c>
      <c r="D10" s="7" t="s">
        <v>3112</v>
      </c>
      <c r="E10" s="7" t="s">
        <v>3528</v>
      </c>
      <c r="F10" s="6" t="n">
        <v>2</v>
      </c>
      <c r="G10" s="9" t="n">
        <v>367500</v>
      </c>
      <c r="H10" s="7" t="s">
        <v>3525</v>
      </c>
      <c r="I10" s="7"/>
      <c r="J10" s="7" t="s">
        <v>3529</v>
      </c>
      <c r="K10" s="7" t="s">
        <v>3530</v>
      </c>
    </row>
  </sheetData>
  <autoFilter ref="A1:K10"/>
  <dataValidations count="2">
    <dataValidation allowBlank="true" errorStyle="stop" operator="between" showDropDown="false" showErrorMessage="false" showInputMessage="false" sqref="H2:H10" type="list">
      <formula1>Listas!$Z$2:$Z$7</formula1>
      <formula2>0</formula2>
    </dataValidation>
    <dataValidation allowBlank="true" errorStyle="stop" operator="between" showDropDown="false" showErrorMessage="false" showInputMessage="false" sqref="I2:I10" type="list">
      <formula1>Listas!$T$2:$T$5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6D1F"/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1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8" min="6" style="0" width="11"/>
  </cols>
  <sheetData>
    <row r="1" customFormat="false" ht="30" hidden="false" customHeight="true" outlineLevel="0" collapsed="false">
      <c r="A1" s="4" t="s">
        <v>3531</v>
      </c>
      <c r="B1" s="4" t="s">
        <v>3532</v>
      </c>
      <c r="C1" s="4" t="s">
        <v>3533</v>
      </c>
      <c r="D1" s="4" t="s">
        <v>3534</v>
      </c>
      <c r="E1" s="4" t="s">
        <v>3535</v>
      </c>
      <c r="F1" s="4" t="s">
        <v>3536</v>
      </c>
      <c r="G1" s="4" t="s">
        <v>3537</v>
      </c>
      <c r="H1" s="4" t="s">
        <v>3343</v>
      </c>
    </row>
    <row r="2" customFormat="false" ht="15" hidden="false" customHeight="false" outlineLevel="0" collapsed="false">
      <c r="A2" s="7" t="s">
        <v>3353</v>
      </c>
      <c r="B2" s="7"/>
      <c r="C2" s="7" t="s">
        <v>3538</v>
      </c>
      <c r="D2" s="7" t="s">
        <v>3539</v>
      </c>
      <c r="E2" s="7" t="s">
        <v>3540</v>
      </c>
      <c r="F2" s="7" t="s">
        <v>3541</v>
      </c>
      <c r="G2" s="7" t="s">
        <v>3542</v>
      </c>
      <c r="H2" s="7" t="s">
        <v>3543</v>
      </c>
    </row>
    <row r="3" customFormat="false" ht="15" hidden="false" customHeight="false" outlineLevel="0" collapsed="false">
      <c r="A3" s="7" t="s">
        <v>2545</v>
      </c>
      <c r="B3" s="7"/>
      <c r="C3" s="7"/>
      <c r="D3" s="7"/>
      <c r="E3" s="7"/>
      <c r="F3" s="7"/>
      <c r="G3" s="7" t="s">
        <v>3544</v>
      </c>
      <c r="H3" s="7"/>
    </row>
    <row r="4" customFormat="false" ht="15" hidden="false" customHeight="false" outlineLevel="0" collapsed="false">
      <c r="A4" s="7" t="s">
        <v>3413</v>
      </c>
      <c r="B4" s="7"/>
      <c r="C4" s="7"/>
      <c r="D4" s="7"/>
      <c r="E4" s="7"/>
      <c r="F4" s="7"/>
      <c r="G4" s="7" t="s">
        <v>3544</v>
      </c>
      <c r="H4" s="7"/>
    </row>
    <row r="5" customFormat="false" ht="15" hidden="false" customHeight="false" outlineLevel="0" collapsed="false">
      <c r="A5" s="7" t="s">
        <v>3429</v>
      </c>
      <c r="B5" s="7"/>
      <c r="C5" s="7"/>
      <c r="D5" s="7" t="s">
        <v>3545</v>
      </c>
      <c r="E5" s="7" t="s">
        <v>3546</v>
      </c>
      <c r="F5" s="7"/>
      <c r="G5" s="7" t="s">
        <v>3547</v>
      </c>
      <c r="H5" s="7"/>
    </row>
  </sheetData>
  <autoFilter ref="A1:H5"/>
  <dataValidations count="1">
    <dataValidation allowBlank="true" errorStyle="stop" operator="between" showDropDown="false" showErrorMessage="false" showInputMessage="false" sqref="G2:G5" type="list">
      <formula1>Listas!$V$2:$V$5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6D1F"/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8" min="8" style="0" width="12"/>
  </cols>
  <sheetData>
    <row r="1" customFormat="false" ht="30" hidden="false" customHeight="true" outlineLevel="0" collapsed="false">
      <c r="A1" s="4" t="s">
        <v>3504</v>
      </c>
      <c r="B1" s="4" t="s">
        <v>3532</v>
      </c>
      <c r="C1" s="4" t="s">
        <v>3533</v>
      </c>
      <c r="D1" s="4" t="s">
        <v>3534</v>
      </c>
      <c r="E1" s="4" t="s">
        <v>3535</v>
      </c>
      <c r="F1" s="4" t="s">
        <v>3536</v>
      </c>
      <c r="G1" s="4" t="s">
        <v>3537</v>
      </c>
      <c r="H1" s="4" t="s">
        <v>3548</v>
      </c>
    </row>
    <row r="2" customFormat="false" ht="15" hidden="false" customHeight="false" outlineLevel="0" collapsed="false">
      <c r="A2" s="7" t="s">
        <v>3549</v>
      </c>
      <c r="B2" s="7"/>
      <c r="C2" s="7"/>
      <c r="D2" s="7"/>
      <c r="E2" s="7"/>
      <c r="F2" s="7" t="s">
        <v>3550</v>
      </c>
      <c r="G2" s="7" t="s">
        <v>3551</v>
      </c>
      <c r="H2" s="7" t="s">
        <v>3552</v>
      </c>
    </row>
    <row r="3" customFormat="false" ht="15" hidden="false" customHeight="false" outlineLevel="0" collapsed="false">
      <c r="A3" s="7" t="s">
        <v>3553</v>
      </c>
      <c r="B3" s="7"/>
      <c r="C3" s="7"/>
      <c r="D3" s="7"/>
      <c r="E3" s="7"/>
      <c r="F3" s="7" t="s">
        <v>3554</v>
      </c>
      <c r="G3" s="7" t="s">
        <v>3551</v>
      </c>
      <c r="H3" s="7" t="s">
        <v>3555</v>
      </c>
    </row>
    <row r="4" customFormat="false" ht="15" hidden="false" customHeight="false" outlineLevel="0" collapsed="false">
      <c r="A4" s="7" t="s">
        <v>3556</v>
      </c>
      <c r="B4" s="7"/>
      <c r="C4" s="7"/>
      <c r="D4" s="7"/>
      <c r="E4" s="7"/>
      <c r="F4" s="7" t="s">
        <v>3557</v>
      </c>
      <c r="G4" s="7" t="s">
        <v>3551</v>
      </c>
      <c r="H4" s="7" t="s">
        <v>3558</v>
      </c>
    </row>
    <row r="5" customFormat="false" ht="15" hidden="false" customHeight="false" outlineLevel="0" collapsed="false">
      <c r="A5" s="7" t="s">
        <v>1730</v>
      </c>
      <c r="B5" s="7"/>
      <c r="C5" s="7"/>
      <c r="D5" s="7"/>
      <c r="E5" s="7" t="s">
        <v>3559</v>
      </c>
      <c r="F5" s="7" t="s">
        <v>3560</v>
      </c>
      <c r="G5" s="7" t="s">
        <v>3551</v>
      </c>
      <c r="H5" s="7" t="s">
        <v>3561</v>
      </c>
    </row>
    <row r="6" customFormat="false" ht="15" hidden="false" customHeight="false" outlineLevel="0" collapsed="false">
      <c r="A6" s="7" t="s">
        <v>3562</v>
      </c>
      <c r="B6" s="7"/>
      <c r="C6" s="7"/>
      <c r="D6" s="7"/>
      <c r="E6" s="7" t="s">
        <v>3563</v>
      </c>
      <c r="F6" s="7" t="s">
        <v>3564</v>
      </c>
      <c r="G6" s="7" t="s">
        <v>3551</v>
      </c>
      <c r="H6" s="7" t="s">
        <v>3565</v>
      </c>
    </row>
    <row r="7" customFormat="false" ht="15" hidden="false" customHeight="false" outlineLevel="0" collapsed="false">
      <c r="A7" s="7" t="s">
        <v>3566</v>
      </c>
      <c r="B7" s="7"/>
      <c r="C7" s="7"/>
      <c r="D7" s="7"/>
      <c r="E7" s="7"/>
      <c r="F7" s="7" t="s">
        <v>3567</v>
      </c>
      <c r="G7" s="7" t="s">
        <v>3551</v>
      </c>
      <c r="H7" s="7" t="s">
        <v>3568</v>
      </c>
    </row>
    <row r="8" customFormat="false" ht="15" hidden="false" customHeight="false" outlineLevel="0" collapsed="false">
      <c r="A8" s="7" t="s">
        <v>3569</v>
      </c>
      <c r="B8" s="7"/>
      <c r="C8" s="7"/>
      <c r="D8" s="7"/>
      <c r="E8" s="7"/>
      <c r="F8" s="7" t="s">
        <v>3570</v>
      </c>
      <c r="G8" s="7" t="s">
        <v>3551</v>
      </c>
      <c r="H8" s="7" t="s">
        <v>3571</v>
      </c>
    </row>
    <row r="9" customFormat="false" ht="15" hidden="false" customHeight="false" outlineLevel="0" collapsed="false">
      <c r="A9" s="7" t="s">
        <v>3572</v>
      </c>
      <c r="B9" s="7"/>
      <c r="C9" s="7"/>
      <c r="D9" s="7"/>
      <c r="E9" s="7"/>
      <c r="F9" s="7" t="s">
        <v>3573</v>
      </c>
      <c r="G9" s="7" t="s">
        <v>3551</v>
      </c>
      <c r="H9" s="7" t="s">
        <v>3574</v>
      </c>
    </row>
    <row r="10" customFormat="false" ht="15" hidden="false" customHeight="false" outlineLevel="0" collapsed="false">
      <c r="A10" s="7" t="s">
        <v>3575</v>
      </c>
      <c r="B10" s="7"/>
      <c r="C10" s="7"/>
      <c r="D10" s="7"/>
      <c r="E10" s="7"/>
      <c r="F10" s="7" t="s">
        <v>3576</v>
      </c>
      <c r="G10" s="7" t="s">
        <v>3551</v>
      </c>
      <c r="H10" s="7" t="s">
        <v>3577</v>
      </c>
    </row>
    <row r="11" customFormat="false" ht="15" hidden="false" customHeight="false" outlineLevel="0" collapsed="false">
      <c r="A11" s="7" t="s">
        <v>109</v>
      </c>
      <c r="B11" s="7"/>
      <c r="C11" s="7"/>
      <c r="D11" s="7"/>
      <c r="E11" s="7" t="s">
        <v>3578</v>
      </c>
      <c r="F11" s="7" t="s">
        <v>3579</v>
      </c>
      <c r="G11" s="7" t="s">
        <v>3551</v>
      </c>
      <c r="H11" s="7" t="s">
        <v>3580</v>
      </c>
    </row>
    <row r="12" customFormat="false" ht="15" hidden="false" customHeight="false" outlineLevel="0" collapsed="false">
      <c r="A12" s="7" t="s">
        <v>919</v>
      </c>
      <c r="B12" s="7"/>
      <c r="C12" s="7"/>
      <c r="D12" s="7"/>
      <c r="E12" s="7" t="s">
        <v>3581</v>
      </c>
      <c r="F12" s="7" t="s">
        <v>3582</v>
      </c>
      <c r="G12" s="7" t="s">
        <v>3551</v>
      </c>
      <c r="H12" s="7" t="s">
        <v>3583</v>
      </c>
    </row>
    <row r="13" customFormat="false" ht="15" hidden="false" customHeight="false" outlineLevel="0" collapsed="false">
      <c r="A13" s="7" t="s">
        <v>3584</v>
      </c>
      <c r="B13" s="7"/>
      <c r="C13" s="7"/>
      <c r="D13" s="7"/>
      <c r="E13" s="7" t="s">
        <v>3585</v>
      </c>
      <c r="F13" s="7" t="s">
        <v>3586</v>
      </c>
      <c r="G13" s="7" t="s">
        <v>3551</v>
      </c>
      <c r="H13" s="7" t="s">
        <v>3587</v>
      </c>
    </row>
    <row r="14" customFormat="false" ht="15" hidden="false" customHeight="false" outlineLevel="0" collapsed="false">
      <c r="A14" s="7" t="s">
        <v>3588</v>
      </c>
      <c r="B14" s="7"/>
      <c r="C14" s="7"/>
      <c r="D14" s="7"/>
      <c r="E14" s="7"/>
      <c r="F14" s="7" t="s">
        <v>3589</v>
      </c>
      <c r="G14" s="7" t="s">
        <v>3551</v>
      </c>
      <c r="H14" s="7" t="s">
        <v>3590</v>
      </c>
    </row>
    <row r="15" customFormat="false" ht="15" hidden="false" customHeight="false" outlineLevel="0" collapsed="false">
      <c r="A15" s="7" t="s">
        <v>372</v>
      </c>
      <c r="B15" s="7"/>
      <c r="C15" s="7"/>
      <c r="D15" s="7"/>
      <c r="E15" s="7" t="s">
        <v>3591</v>
      </c>
      <c r="F15" s="7" t="s">
        <v>3592</v>
      </c>
      <c r="G15" s="7" t="s">
        <v>3551</v>
      </c>
      <c r="H15" s="7" t="s">
        <v>3593</v>
      </c>
    </row>
    <row r="16" customFormat="false" ht="15" hidden="false" customHeight="false" outlineLevel="0" collapsed="false">
      <c r="A16" s="7" t="s">
        <v>3594</v>
      </c>
      <c r="B16" s="7"/>
      <c r="C16" s="7"/>
      <c r="D16" s="7"/>
      <c r="E16" s="7" t="s">
        <v>3595</v>
      </c>
      <c r="F16" s="7" t="s">
        <v>3596</v>
      </c>
      <c r="G16" s="7" t="s">
        <v>3551</v>
      </c>
      <c r="H16" s="7" t="s">
        <v>3597</v>
      </c>
    </row>
    <row r="17" customFormat="false" ht="15" hidden="false" customHeight="false" outlineLevel="0" collapsed="false">
      <c r="A17" s="7" t="s">
        <v>3598</v>
      </c>
      <c r="B17" s="7"/>
      <c r="C17" s="7"/>
      <c r="D17" s="7"/>
      <c r="E17" s="7"/>
      <c r="F17" s="7" t="s">
        <v>3599</v>
      </c>
      <c r="G17" s="7" t="s">
        <v>3551</v>
      </c>
      <c r="H17" s="7" t="s">
        <v>3600</v>
      </c>
    </row>
    <row r="18" customFormat="false" ht="15" hidden="false" customHeight="false" outlineLevel="0" collapsed="false">
      <c r="A18" s="7" t="s">
        <v>3601</v>
      </c>
      <c r="B18" s="7"/>
      <c r="C18" s="7"/>
      <c r="D18" s="7"/>
      <c r="E18" s="7" t="s">
        <v>3602</v>
      </c>
      <c r="F18" s="7" t="s">
        <v>3603</v>
      </c>
      <c r="G18" s="7" t="s">
        <v>3551</v>
      </c>
      <c r="H18" s="7" t="s">
        <v>3604</v>
      </c>
    </row>
    <row r="19" customFormat="false" ht="15" hidden="false" customHeight="false" outlineLevel="0" collapsed="false">
      <c r="A19" s="7" t="s">
        <v>3605</v>
      </c>
      <c r="B19" s="7"/>
      <c r="C19" s="7"/>
      <c r="D19" s="7"/>
      <c r="E19" s="7" t="s">
        <v>3606</v>
      </c>
      <c r="F19" s="7" t="s">
        <v>3607</v>
      </c>
      <c r="G19" s="7" t="s">
        <v>3551</v>
      </c>
      <c r="H19" s="7" t="s">
        <v>3608</v>
      </c>
    </row>
    <row r="20" customFormat="false" ht="15" hidden="false" customHeight="false" outlineLevel="0" collapsed="false">
      <c r="A20" s="7" t="s">
        <v>3609</v>
      </c>
      <c r="B20" s="7"/>
      <c r="C20" s="7"/>
      <c r="D20" s="7"/>
      <c r="E20" s="7" t="s">
        <v>3610</v>
      </c>
      <c r="F20" s="7" t="s">
        <v>3611</v>
      </c>
      <c r="G20" s="7" t="s">
        <v>3551</v>
      </c>
      <c r="H20" s="7" t="s">
        <v>3612</v>
      </c>
    </row>
    <row r="21" customFormat="false" ht="15" hidden="false" customHeight="false" outlineLevel="0" collapsed="false">
      <c r="A21" s="7" t="s">
        <v>3613</v>
      </c>
      <c r="B21" s="7"/>
      <c r="C21" s="7"/>
      <c r="D21" s="7"/>
      <c r="E21" s="7"/>
      <c r="F21" s="7" t="s">
        <v>3614</v>
      </c>
      <c r="G21" s="7" t="s">
        <v>3551</v>
      </c>
      <c r="H21" s="7" t="s">
        <v>3615</v>
      </c>
    </row>
    <row r="22" customFormat="false" ht="15" hidden="false" customHeight="false" outlineLevel="0" collapsed="false">
      <c r="A22" s="7" t="s">
        <v>3616</v>
      </c>
      <c r="B22" s="7"/>
      <c r="C22" s="7"/>
      <c r="D22" s="7"/>
      <c r="E22" s="7" t="s">
        <v>3617</v>
      </c>
      <c r="F22" s="7" t="s">
        <v>3618</v>
      </c>
      <c r="G22" s="7" t="s">
        <v>3551</v>
      </c>
      <c r="H22" s="7" t="s">
        <v>3619</v>
      </c>
    </row>
    <row r="23" customFormat="false" ht="15" hidden="false" customHeight="false" outlineLevel="0" collapsed="false">
      <c r="A23" s="7" t="s">
        <v>3620</v>
      </c>
      <c r="B23" s="7"/>
      <c r="C23" s="7"/>
      <c r="D23" s="7"/>
      <c r="E23" s="7"/>
      <c r="F23" s="7" t="s">
        <v>3541</v>
      </c>
      <c r="G23" s="7" t="s">
        <v>3551</v>
      </c>
      <c r="H23" s="7" t="s">
        <v>3621</v>
      </c>
    </row>
    <row r="24" customFormat="false" ht="15" hidden="false" customHeight="false" outlineLevel="0" collapsed="false">
      <c r="A24" s="7" t="s">
        <v>3622</v>
      </c>
      <c r="B24" s="7"/>
      <c r="C24" s="7"/>
      <c r="D24" s="7"/>
      <c r="E24" s="7" t="s">
        <v>3623</v>
      </c>
      <c r="F24" s="7" t="s">
        <v>3624</v>
      </c>
      <c r="G24" s="7" t="s">
        <v>3551</v>
      </c>
      <c r="H24" s="7" t="s">
        <v>3625</v>
      </c>
    </row>
    <row r="25" customFormat="false" ht="15" hidden="false" customHeight="false" outlineLevel="0" collapsed="false">
      <c r="A25" s="7" t="s">
        <v>489</v>
      </c>
      <c r="B25" s="7"/>
      <c r="C25" s="7"/>
      <c r="D25" s="7"/>
      <c r="E25" s="7" t="s">
        <v>3626</v>
      </c>
      <c r="F25" s="7" t="s">
        <v>3627</v>
      </c>
      <c r="G25" s="7" t="s">
        <v>3551</v>
      </c>
      <c r="H25" s="7" t="s">
        <v>3628</v>
      </c>
    </row>
    <row r="26" customFormat="false" ht="15" hidden="false" customHeight="false" outlineLevel="0" collapsed="false">
      <c r="A26" s="7" t="s">
        <v>3629</v>
      </c>
      <c r="B26" s="7"/>
      <c r="C26" s="7"/>
      <c r="D26" s="7"/>
      <c r="E26" s="7" t="s">
        <v>3630</v>
      </c>
      <c r="F26" s="7" t="s">
        <v>3631</v>
      </c>
      <c r="G26" s="7" t="s">
        <v>3551</v>
      </c>
      <c r="H26" s="7" t="s">
        <v>3632</v>
      </c>
    </row>
    <row r="27" customFormat="false" ht="15" hidden="false" customHeight="false" outlineLevel="0" collapsed="false">
      <c r="A27" s="7" t="s">
        <v>3633</v>
      </c>
      <c r="B27" s="7"/>
      <c r="C27" s="7"/>
      <c r="D27" s="7"/>
      <c r="E27" s="7"/>
      <c r="F27" s="7" t="s">
        <v>3634</v>
      </c>
      <c r="G27" s="7" t="s">
        <v>3551</v>
      </c>
      <c r="H27" s="7" t="s">
        <v>3635</v>
      </c>
    </row>
    <row r="28" customFormat="false" ht="15" hidden="false" customHeight="false" outlineLevel="0" collapsed="false">
      <c r="A28" s="7" t="s">
        <v>3636</v>
      </c>
      <c r="B28" s="7"/>
      <c r="C28" s="7"/>
      <c r="D28" s="7"/>
      <c r="E28" s="7"/>
      <c r="F28" s="7" t="s">
        <v>3637</v>
      </c>
      <c r="G28" s="7" t="s">
        <v>3551</v>
      </c>
      <c r="H28" s="7" t="s">
        <v>3638</v>
      </c>
    </row>
    <row r="29" customFormat="false" ht="15" hidden="false" customHeight="false" outlineLevel="0" collapsed="false">
      <c r="A29" s="7" t="s">
        <v>3639</v>
      </c>
      <c r="B29" s="7"/>
      <c r="C29" s="7"/>
      <c r="D29" s="7"/>
      <c r="E29" s="7"/>
      <c r="F29" s="7" t="s">
        <v>3640</v>
      </c>
      <c r="G29" s="7" t="s">
        <v>3551</v>
      </c>
      <c r="H29" s="7" t="s">
        <v>3641</v>
      </c>
    </row>
    <row r="30" customFormat="false" ht="15" hidden="false" customHeight="false" outlineLevel="0" collapsed="false">
      <c r="A30" s="7" t="s">
        <v>3642</v>
      </c>
      <c r="B30" s="7"/>
      <c r="C30" s="7"/>
      <c r="D30" s="7"/>
      <c r="E30" s="7"/>
      <c r="F30" s="7" t="s">
        <v>3643</v>
      </c>
      <c r="G30" s="7" t="s">
        <v>3551</v>
      </c>
      <c r="H30" s="7" t="s">
        <v>3644</v>
      </c>
    </row>
  </sheetData>
  <autoFilter ref="A1:H30"/>
  <dataValidations count="1">
    <dataValidation allowBlank="true" errorStyle="stop" operator="between" showDropDown="false" showErrorMessage="false" showInputMessage="false" sqref="G2:G30" type="list">
      <formula1>Listas!$W$2:$W$3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E4E0E"/>
    <pageSetUpPr fitToPage="false"/>
  </sheetPr>
  <dimension ref="A1:O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16"/>
    <col collapsed="false" customWidth="true" hidden="false" outlineLevel="0" max="5" min="5" style="0" width="21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7"/>
    <col collapsed="false" customWidth="true" hidden="false" outlineLevel="0" max="11" min="11" style="0" width="20"/>
    <col collapsed="false" customWidth="true" hidden="false" outlineLevel="0" max="12" min="12" style="0" width="16"/>
    <col collapsed="false" customWidth="true" hidden="false" outlineLevel="0" max="13" min="13" style="0" width="13"/>
    <col collapsed="false" customWidth="true" hidden="false" outlineLevel="0" max="14" min="14" style="0" width="18"/>
    <col collapsed="false" customWidth="true" hidden="false" outlineLevel="0" max="15" min="15" style="0" width="11"/>
  </cols>
  <sheetData>
    <row r="1" customFormat="false" ht="30" hidden="false" customHeight="true" outlineLevel="0" collapsed="false">
      <c r="A1" s="4" t="s">
        <v>3645</v>
      </c>
      <c r="B1" s="4" t="s">
        <v>3646</v>
      </c>
      <c r="C1" s="4" t="s">
        <v>3647</v>
      </c>
      <c r="D1" s="4" t="s">
        <v>3648</v>
      </c>
      <c r="E1" s="4" t="s">
        <v>3649</v>
      </c>
      <c r="F1" s="4" t="s">
        <v>3650</v>
      </c>
      <c r="G1" s="4" t="s">
        <v>3651</v>
      </c>
      <c r="H1" s="4" t="s">
        <v>3652</v>
      </c>
      <c r="I1" s="4" t="s">
        <v>3337</v>
      </c>
      <c r="J1" s="4" t="s">
        <v>3338</v>
      </c>
      <c r="K1" s="4" t="s">
        <v>3339</v>
      </c>
      <c r="L1" s="4" t="s">
        <v>3340</v>
      </c>
      <c r="M1" s="4" t="s">
        <v>3653</v>
      </c>
      <c r="N1" s="4" t="s">
        <v>64</v>
      </c>
      <c r="O1" s="4" t="s">
        <v>3344</v>
      </c>
    </row>
    <row r="2" customFormat="false" ht="15" hidden="false" customHeight="false" outlineLevel="0" collapsed="false">
      <c r="A2" s="7" t="s">
        <v>3654</v>
      </c>
      <c r="B2" s="7" t="s">
        <v>3655</v>
      </c>
      <c r="C2" s="7" t="s">
        <v>3656</v>
      </c>
      <c r="D2" s="7" t="s">
        <v>489</v>
      </c>
      <c r="E2" s="9" t="n">
        <v>1500000</v>
      </c>
      <c r="F2" s="9" t="n">
        <v>420000</v>
      </c>
      <c r="G2" s="9" t="n">
        <v>1500000</v>
      </c>
      <c r="H2" s="9"/>
      <c r="I2" s="7" t="s">
        <v>3355</v>
      </c>
      <c r="J2" s="7" t="s">
        <v>3473</v>
      </c>
      <c r="K2" s="7"/>
      <c r="L2" s="6"/>
      <c r="M2" s="7" t="s">
        <v>3657</v>
      </c>
      <c r="N2" s="7"/>
      <c r="O2" s="7" t="s">
        <v>3658</v>
      </c>
    </row>
    <row r="3" customFormat="false" ht="15" hidden="false" customHeight="false" outlineLevel="0" collapsed="false">
      <c r="A3" s="7" t="s">
        <v>3659</v>
      </c>
      <c r="B3" s="7" t="s">
        <v>3660</v>
      </c>
      <c r="C3" s="7" t="s">
        <v>3661</v>
      </c>
      <c r="D3" s="7" t="s">
        <v>3549</v>
      </c>
      <c r="E3" s="9" t="n">
        <v>36587850</v>
      </c>
      <c r="F3" s="9" t="n">
        <v>0</v>
      </c>
      <c r="G3" s="9" t="n">
        <v>36587850</v>
      </c>
      <c r="H3" s="9"/>
      <c r="I3" s="7" t="s">
        <v>3355</v>
      </c>
      <c r="J3" s="7" t="s">
        <v>3473</v>
      </c>
      <c r="K3" s="7"/>
      <c r="L3" s="6"/>
      <c r="M3" s="7" t="s">
        <v>3662</v>
      </c>
      <c r="N3" s="7"/>
      <c r="O3" s="7" t="s">
        <v>3658</v>
      </c>
    </row>
    <row r="4" customFormat="false" ht="15" hidden="false" customHeight="false" outlineLevel="0" collapsed="false">
      <c r="A4" s="7" t="s">
        <v>3663</v>
      </c>
      <c r="B4" s="7" t="s">
        <v>3664</v>
      </c>
      <c r="C4" s="7"/>
      <c r="D4" s="7" t="s">
        <v>3594</v>
      </c>
      <c r="E4" s="9" t="n">
        <v>270000</v>
      </c>
      <c r="F4" s="9" t="n">
        <v>0</v>
      </c>
      <c r="G4" s="9" t="n">
        <v>270000</v>
      </c>
      <c r="H4" s="9"/>
      <c r="I4" s="7" t="s">
        <v>3355</v>
      </c>
      <c r="J4" s="7" t="s">
        <v>3473</v>
      </c>
      <c r="K4" s="7"/>
      <c r="L4" s="6"/>
      <c r="M4" s="7" t="s">
        <v>3665</v>
      </c>
      <c r="N4" s="7"/>
      <c r="O4" s="7" t="s">
        <v>3658</v>
      </c>
    </row>
  </sheetData>
  <autoFilter ref="A1:O4"/>
  <dataValidations count="3">
    <dataValidation allowBlank="true" errorStyle="stop" operator="between" showDropDown="false" showErrorMessage="false" showInputMessage="false" sqref="I2:I4" type="list">
      <formula1>Listas!$X$2:$X$7</formula1>
      <formula2>0</formula2>
    </dataValidation>
    <dataValidation allowBlank="true" errorStyle="stop" operator="between" showDropDown="false" showErrorMessage="false" showInputMessage="false" sqref="J2:J4" type="list">
      <formula1>Listas!$Y$2:$Y$4</formula1>
      <formula2>0</formula2>
    </dataValidation>
    <dataValidation allowBlank="true" errorStyle="stop" operator="between" showDropDown="false" showErrorMessage="false" showInputMessage="false" sqref="O2:O4" type="list">
      <formula1>Listas!$AA$2:$AA$4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6D1F"/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30"/>
  </cols>
  <sheetData>
    <row r="1" customFormat="false" ht="30" hidden="false" customHeight="true" outlineLevel="0" collapsed="false">
      <c r="A1" s="4" t="s">
        <v>3666</v>
      </c>
      <c r="B1" s="4" t="s">
        <v>3667</v>
      </c>
      <c r="C1" s="4" t="s">
        <v>3668</v>
      </c>
    </row>
    <row r="2" customFormat="false" ht="15" hidden="false" customHeight="false" outlineLevel="0" collapsed="false">
      <c r="A2" s="7" t="s">
        <v>3147</v>
      </c>
      <c r="B2" s="8" t="n">
        <v>1.15</v>
      </c>
    </row>
    <row r="3" customFormat="false" ht="15" hidden="false" customHeight="false" outlineLevel="0" collapsed="false">
      <c r="A3" s="7" t="s">
        <v>3669</v>
      </c>
      <c r="B3" s="8" t="n">
        <v>1.2</v>
      </c>
    </row>
    <row r="4" customFormat="false" ht="15" hidden="false" customHeight="false" outlineLevel="0" collapsed="false">
      <c r="A4" s="7" t="s">
        <v>3670</v>
      </c>
      <c r="B4" s="8" t="n">
        <v>1.1</v>
      </c>
    </row>
    <row r="5" customFormat="false" ht="15" hidden="false" customHeight="false" outlineLevel="0" collapsed="false">
      <c r="A5" s="7" t="s">
        <v>2087</v>
      </c>
      <c r="B5" s="8" t="n">
        <v>1</v>
      </c>
    </row>
    <row r="6" customFormat="false" ht="15" hidden="false" customHeight="false" outlineLevel="0" collapsed="false">
      <c r="A6" s="7" t="s">
        <v>2424</v>
      </c>
      <c r="B6" s="8" t="n">
        <v>0.9</v>
      </c>
    </row>
    <row r="7" customFormat="false" ht="15" hidden="false" customHeight="false" outlineLevel="0" collapsed="false">
      <c r="A7" s="7" t="s">
        <v>2003</v>
      </c>
      <c r="B7" s="8" t="n">
        <v>0.85</v>
      </c>
    </row>
    <row r="8" customFormat="false" ht="15" hidden="false" customHeight="false" outlineLevel="0" collapsed="false">
      <c r="A8" s="7" t="s">
        <v>680</v>
      </c>
      <c r="B8" s="8" t="n">
        <v>0.65</v>
      </c>
    </row>
    <row r="9" customFormat="false" ht="15" hidden="false" customHeight="false" outlineLevel="0" collapsed="false">
      <c r="A9" s="7" t="s">
        <v>311</v>
      </c>
      <c r="B9" s="8" t="n">
        <v>0.55</v>
      </c>
    </row>
    <row r="10" customFormat="false" ht="15" hidden="false" customHeight="false" outlineLevel="0" collapsed="false">
      <c r="A10" s="7" t="s">
        <v>765</v>
      </c>
      <c r="B10" s="8" t="n">
        <v>0.8</v>
      </c>
    </row>
    <row r="11" customFormat="false" ht="15" hidden="false" customHeight="false" outlineLevel="0" collapsed="false">
      <c r="A11" s="7" t="s">
        <v>2067</v>
      </c>
      <c r="B11" s="8" t="n">
        <v>0.45</v>
      </c>
    </row>
    <row r="12" customFormat="false" ht="15" hidden="false" customHeight="false" outlineLevel="0" collapsed="false">
      <c r="A12" s="7" t="s">
        <v>270</v>
      </c>
      <c r="B12" s="8" t="n">
        <v>0.4</v>
      </c>
    </row>
    <row r="13" customFormat="false" ht="15" hidden="false" customHeight="false" outlineLevel="0" collapsed="false">
      <c r="A13" s="7" t="s">
        <v>86</v>
      </c>
      <c r="B13" s="8" t="n">
        <v>0.3</v>
      </c>
    </row>
    <row r="14" customFormat="false" ht="15" hidden="false" customHeight="false" outlineLevel="0" collapsed="false">
      <c r="A14" s="7" t="s">
        <v>123</v>
      </c>
      <c r="B14" s="8" t="n">
        <v>0.22</v>
      </c>
    </row>
    <row r="15" customFormat="false" ht="15" hidden="false" customHeight="false" outlineLevel="0" collapsed="false">
      <c r="A15" s="7" t="s">
        <v>148</v>
      </c>
      <c r="B15" s="8" t="n">
        <v>0.15</v>
      </c>
    </row>
    <row r="16" customFormat="false" ht="15" hidden="false" customHeight="false" outlineLevel="0" collapsed="false">
      <c r="A16" s="7" t="s">
        <v>1508</v>
      </c>
      <c r="B16" s="8" t="n">
        <v>0.12</v>
      </c>
    </row>
    <row r="17" customFormat="false" ht="15" hidden="false" customHeight="false" outlineLevel="0" collapsed="false">
      <c r="A17" s="7" t="s">
        <v>3671</v>
      </c>
      <c r="B17" s="8" t="n">
        <v>0.1</v>
      </c>
    </row>
    <row r="18" customFormat="false" ht="15" hidden="false" customHeight="false" outlineLevel="0" collapsed="false">
      <c r="A18" s="7" t="s">
        <v>1147</v>
      </c>
      <c r="B18" s="8" t="n">
        <v>0.07</v>
      </c>
    </row>
    <row r="19" customFormat="false" ht="15" hidden="false" customHeight="false" outlineLevel="0" collapsed="false">
      <c r="A19" s="7" t="s">
        <v>1051</v>
      </c>
      <c r="B19" s="8" t="n">
        <v>0.05</v>
      </c>
    </row>
    <row r="20" customFormat="false" ht="15" hidden="false" customHeight="false" outlineLevel="0" collapsed="false">
      <c r="A20" s="7" t="s">
        <v>3672</v>
      </c>
      <c r="B20" s="8" t="n">
        <v>0.03</v>
      </c>
    </row>
    <row r="22" customFormat="false" ht="15" hidden="false" customHeight="false" outlineLevel="0" collapsed="false">
      <c r="A22" s="13" t="s">
        <v>3673</v>
      </c>
      <c r="B22" s="7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A2B"/>
    <pageSetUpPr fitToPage="false"/>
  </sheetPr>
  <dimension ref="A1:AB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0" width="12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8" min="17" style="0" width="13"/>
    <col collapsed="false" customWidth="true" hidden="false" outlineLevel="0" max="19" min="19" style="0" width="16"/>
    <col collapsed="false" customWidth="true" hidden="false" outlineLevel="0" max="24" min="20" style="0" width="12"/>
    <col collapsed="false" customWidth="true" hidden="false" outlineLevel="0" max="25" min="25" style="0" width="15"/>
    <col collapsed="false" customWidth="true" hidden="false" outlineLevel="0" max="27" min="26" style="0" width="12"/>
    <col collapsed="false" customWidth="true" hidden="false" outlineLevel="0" max="28" min="28" style="0" width="13"/>
  </cols>
  <sheetData>
    <row r="1" customFormat="false" ht="15" hidden="false" customHeight="false" outlineLevel="0" collapsed="false">
      <c r="A1" s="4" t="s">
        <v>3674</v>
      </c>
      <c r="B1" s="4" t="s">
        <v>3675</v>
      </c>
      <c r="C1" s="4" t="s">
        <v>3676</v>
      </c>
      <c r="D1" s="4" t="s">
        <v>3677</v>
      </c>
      <c r="E1" s="4" t="s">
        <v>3678</v>
      </c>
      <c r="F1" s="4" t="s">
        <v>3679</v>
      </c>
      <c r="G1" s="4" t="s">
        <v>3344</v>
      </c>
      <c r="H1" s="4" t="s">
        <v>3680</v>
      </c>
      <c r="I1" s="4" t="s">
        <v>3681</v>
      </c>
      <c r="J1" s="4" t="s">
        <v>51</v>
      </c>
      <c r="K1" s="4" t="s">
        <v>57</v>
      </c>
      <c r="L1" s="4" t="s">
        <v>58</v>
      </c>
      <c r="M1" s="4" t="s">
        <v>59</v>
      </c>
      <c r="N1" s="4" t="s">
        <v>60</v>
      </c>
      <c r="O1" s="4" t="s">
        <v>61</v>
      </c>
      <c r="P1" s="4" t="s">
        <v>62</v>
      </c>
      <c r="Q1" s="4" t="s">
        <v>65</v>
      </c>
      <c r="R1" s="4" t="s">
        <v>66</v>
      </c>
      <c r="S1" s="4" t="s">
        <v>67</v>
      </c>
      <c r="T1" s="4" t="s">
        <v>3682</v>
      </c>
      <c r="U1" s="4" t="s">
        <v>3683</v>
      </c>
      <c r="V1" s="4" t="s">
        <v>3684</v>
      </c>
      <c r="W1" s="4" t="s">
        <v>3685</v>
      </c>
      <c r="X1" s="4" t="s">
        <v>3337</v>
      </c>
      <c r="Y1" s="4" t="s">
        <v>3338</v>
      </c>
      <c r="Z1" s="4" t="s">
        <v>3686</v>
      </c>
      <c r="AA1" s="4" t="s">
        <v>3687</v>
      </c>
      <c r="AB1" s="4" t="s">
        <v>3346</v>
      </c>
    </row>
    <row r="2" customFormat="false" ht="15" hidden="false" customHeight="false" outlineLevel="0" collapsed="false">
      <c r="A2" s="7" t="s">
        <v>1985</v>
      </c>
      <c r="B2" s="7" t="s">
        <v>3147</v>
      </c>
      <c r="C2" s="7" t="s">
        <v>3688</v>
      </c>
      <c r="D2" s="7" t="s">
        <v>271</v>
      </c>
      <c r="E2" s="7" t="s">
        <v>88</v>
      </c>
      <c r="F2" s="7" t="s">
        <v>3689</v>
      </c>
      <c r="G2" s="7" t="s">
        <v>155</v>
      </c>
      <c r="H2" s="7" t="s">
        <v>921</v>
      </c>
      <c r="I2" s="7" t="s">
        <v>93</v>
      </c>
      <c r="J2" s="7" t="s">
        <v>2090</v>
      </c>
      <c r="K2" s="7" t="s">
        <v>1961</v>
      </c>
      <c r="L2" s="7" t="s">
        <v>3690</v>
      </c>
      <c r="M2" s="7" t="s">
        <v>2387</v>
      </c>
      <c r="N2" s="7" t="s">
        <v>2522</v>
      </c>
      <c r="O2" s="7" t="s">
        <v>3691</v>
      </c>
      <c r="P2" s="7" t="s">
        <v>3692</v>
      </c>
      <c r="Q2" s="7" t="s">
        <v>3693</v>
      </c>
      <c r="R2" s="7" t="s">
        <v>3693</v>
      </c>
      <c r="S2" s="7" t="s">
        <v>3694</v>
      </c>
      <c r="T2" s="7" t="s">
        <v>3695</v>
      </c>
      <c r="U2" s="7" t="n">
        <v>1</v>
      </c>
      <c r="V2" s="7" t="s">
        <v>3542</v>
      </c>
      <c r="W2" s="7" t="s">
        <v>3551</v>
      </c>
      <c r="X2" s="7" t="s">
        <v>3355</v>
      </c>
      <c r="Y2" s="7" t="s">
        <v>3473</v>
      </c>
      <c r="Z2" s="7" t="s">
        <v>3364</v>
      </c>
      <c r="AA2" s="7" t="s">
        <v>3696</v>
      </c>
      <c r="AB2" s="7" t="s">
        <v>3697</v>
      </c>
    </row>
    <row r="3" customFormat="false" ht="15" hidden="false" customHeight="false" outlineLevel="0" collapsed="false">
      <c r="A3" s="7" t="s">
        <v>724</v>
      </c>
      <c r="B3" s="7" t="s">
        <v>3669</v>
      </c>
      <c r="C3" s="7" t="s">
        <v>352</v>
      </c>
      <c r="D3" s="7" t="s">
        <v>303</v>
      </c>
      <c r="E3" s="7" t="s">
        <v>353</v>
      </c>
      <c r="F3" s="7" t="s">
        <v>817</v>
      </c>
      <c r="G3" s="7" t="s">
        <v>90</v>
      </c>
      <c r="H3" s="7" t="s">
        <v>1324</v>
      </c>
      <c r="I3" s="7" t="s">
        <v>208</v>
      </c>
      <c r="J3" s="7" t="s">
        <v>2417</v>
      </c>
      <c r="K3" s="7" t="s">
        <v>2324</v>
      </c>
      <c r="L3" s="7" t="s">
        <v>88</v>
      </c>
      <c r="M3" s="7" t="s">
        <v>3698</v>
      </c>
      <c r="N3" s="7" t="s">
        <v>3699</v>
      </c>
      <c r="O3" s="7" t="s">
        <v>3700</v>
      </c>
      <c r="P3" s="7" t="s">
        <v>3701</v>
      </c>
      <c r="Q3" s="7" t="s">
        <v>3702</v>
      </c>
      <c r="R3" s="7" t="s">
        <v>3703</v>
      </c>
      <c r="S3" s="7" t="s">
        <v>3704</v>
      </c>
      <c r="T3" s="7" t="s">
        <v>3705</v>
      </c>
      <c r="U3" s="7" t="n">
        <v>2</v>
      </c>
      <c r="V3" s="7" t="s">
        <v>3544</v>
      </c>
      <c r="W3" s="7" t="s">
        <v>3706</v>
      </c>
      <c r="X3" s="7" t="s">
        <v>3365</v>
      </c>
      <c r="Y3" s="7" t="s">
        <v>3356</v>
      </c>
      <c r="Z3" s="7" t="s">
        <v>3395</v>
      </c>
      <c r="AA3" s="7" t="s">
        <v>3658</v>
      </c>
      <c r="AB3" s="7" t="s">
        <v>3707</v>
      </c>
    </row>
    <row r="4" customFormat="false" ht="15" hidden="false" customHeight="false" outlineLevel="0" collapsed="false">
      <c r="A4" s="7" t="s">
        <v>3708</v>
      </c>
      <c r="B4" s="7" t="s">
        <v>3670</v>
      </c>
      <c r="C4" s="7" t="s">
        <v>413</v>
      </c>
      <c r="E4" s="7" t="s">
        <v>505</v>
      </c>
      <c r="F4" s="7" t="s">
        <v>154</v>
      </c>
      <c r="G4" s="7" t="s">
        <v>41</v>
      </c>
      <c r="H4" s="7" t="s">
        <v>1424</v>
      </c>
      <c r="I4" s="7" t="s">
        <v>111</v>
      </c>
      <c r="J4" s="7" t="s">
        <v>2250</v>
      </c>
      <c r="K4" s="7" t="s">
        <v>1237</v>
      </c>
      <c r="L4" s="7" t="s">
        <v>2178</v>
      </c>
      <c r="M4" s="7" t="s">
        <v>3709</v>
      </c>
      <c r="N4" s="7" t="s">
        <v>2407</v>
      </c>
      <c r="O4" s="7" t="s">
        <v>3710</v>
      </c>
      <c r="P4" s="7" t="s">
        <v>3711</v>
      </c>
      <c r="Q4" s="7" t="s">
        <v>3712</v>
      </c>
      <c r="R4" s="7" t="s">
        <v>3713</v>
      </c>
      <c r="S4" s="7" t="s">
        <v>3714</v>
      </c>
      <c r="T4" s="7" t="s">
        <v>3715</v>
      </c>
      <c r="U4" s="7" t="n">
        <v>3</v>
      </c>
      <c r="V4" s="7" t="s">
        <v>3547</v>
      </c>
      <c r="X4" s="7" t="s">
        <v>3716</v>
      </c>
      <c r="Y4" s="7" t="s">
        <v>3717</v>
      </c>
      <c r="Z4" s="7" t="s">
        <v>3369</v>
      </c>
      <c r="AA4" s="7" t="s">
        <v>3718</v>
      </c>
      <c r="AB4" s="7" t="s">
        <v>3719</v>
      </c>
    </row>
    <row r="5" customFormat="false" ht="15" hidden="false" customHeight="false" outlineLevel="0" collapsed="false">
      <c r="A5" s="7" t="s">
        <v>403</v>
      </c>
      <c r="B5" s="7" t="s">
        <v>2087</v>
      </c>
      <c r="C5" s="7" t="s">
        <v>362</v>
      </c>
      <c r="E5" s="7" t="s">
        <v>1148</v>
      </c>
      <c r="F5" s="7" t="s">
        <v>41</v>
      </c>
      <c r="G5" s="7" t="s">
        <v>1033</v>
      </c>
      <c r="H5" s="7" t="s">
        <v>1164</v>
      </c>
      <c r="I5" s="7" t="s">
        <v>697</v>
      </c>
      <c r="J5" s="7" t="s">
        <v>3720</v>
      </c>
      <c r="K5" s="7" t="s">
        <v>3721</v>
      </c>
      <c r="L5" s="7" t="s">
        <v>2398</v>
      </c>
      <c r="M5" s="7" t="s">
        <v>1148</v>
      </c>
      <c r="N5" s="7" t="s">
        <v>3722</v>
      </c>
      <c r="O5" s="7" t="s">
        <v>3723</v>
      </c>
      <c r="P5" s="7" t="s">
        <v>3724</v>
      </c>
      <c r="Q5" s="7" t="s">
        <v>3725</v>
      </c>
      <c r="R5" s="7" t="s">
        <v>3702</v>
      </c>
      <c r="S5" s="7" t="s">
        <v>3726</v>
      </c>
      <c r="T5" s="7" t="s">
        <v>3727</v>
      </c>
      <c r="U5" s="7" t="n">
        <v>4</v>
      </c>
      <c r="V5" s="7" t="s">
        <v>3728</v>
      </c>
      <c r="X5" s="7" t="s">
        <v>3729</v>
      </c>
      <c r="Z5" s="7" t="s">
        <v>3357</v>
      </c>
      <c r="AB5" s="7" t="s">
        <v>3730</v>
      </c>
    </row>
    <row r="6" customFormat="false" ht="15" hidden="false" customHeight="false" outlineLevel="0" collapsed="false">
      <c r="A6" s="7" t="s">
        <v>386</v>
      </c>
      <c r="B6" s="7" t="s">
        <v>2424</v>
      </c>
      <c r="C6" s="7" t="s">
        <v>472</v>
      </c>
      <c r="E6" s="7" t="s">
        <v>907</v>
      </c>
      <c r="F6" s="7" t="s">
        <v>108</v>
      </c>
      <c r="G6" s="7" t="s">
        <v>506</v>
      </c>
      <c r="H6" s="7" t="s">
        <v>1173</v>
      </c>
      <c r="J6" s="7" t="s">
        <v>3731</v>
      </c>
      <c r="K6" s="7" t="s">
        <v>2069</v>
      </c>
      <c r="L6" s="7" t="s">
        <v>2386</v>
      </c>
      <c r="M6" s="7" t="s">
        <v>1422</v>
      </c>
      <c r="N6" s="7" t="s">
        <v>3732</v>
      </c>
      <c r="O6" s="7" t="s">
        <v>3733</v>
      </c>
      <c r="P6" s="7" t="s">
        <v>3734</v>
      </c>
      <c r="Q6" s="7" t="s">
        <v>3735</v>
      </c>
      <c r="R6" s="7" t="s">
        <v>3712</v>
      </c>
      <c r="S6" s="7" t="s">
        <v>3736</v>
      </c>
      <c r="U6" s="7" t="n">
        <v>5</v>
      </c>
      <c r="X6" s="7" t="s">
        <v>3737</v>
      </c>
      <c r="Z6" s="7" t="s">
        <v>3510</v>
      </c>
      <c r="AB6" s="7" t="s">
        <v>3372</v>
      </c>
    </row>
    <row r="7" customFormat="false" ht="15" hidden="false" customHeight="false" outlineLevel="0" collapsed="false">
      <c r="A7" s="7" t="s">
        <v>2066</v>
      </c>
      <c r="B7" s="7" t="s">
        <v>2003</v>
      </c>
      <c r="C7" s="7" t="s">
        <v>426</v>
      </c>
      <c r="E7" s="7" t="s">
        <v>1422</v>
      </c>
      <c r="F7" s="7" t="s">
        <v>3738</v>
      </c>
      <c r="G7" s="7" t="s">
        <v>711</v>
      </c>
      <c r="H7" s="7" t="s">
        <v>1267</v>
      </c>
      <c r="J7" s="7" t="s">
        <v>3739</v>
      </c>
      <c r="K7" s="7" t="s">
        <v>583</v>
      </c>
      <c r="L7" s="7" t="s">
        <v>3740</v>
      </c>
      <c r="M7" s="7" t="s">
        <v>1502</v>
      </c>
      <c r="N7" s="7" t="s">
        <v>3741</v>
      </c>
      <c r="O7" s="7" t="s">
        <v>3742</v>
      </c>
      <c r="P7" s="7" t="s">
        <v>3743</v>
      </c>
      <c r="R7" s="7" t="s">
        <v>3725</v>
      </c>
      <c r="S7" s="7" t="s">
        <v>3744</v>
      </c>
      <c r="U7" s="7" t="n">
        <v>6</v>
      </c>
      <c r="X7" s="7" t="s">
        <v>3745</v>
      </c>
      <c r="Z7" s="7" t="s">
        <v>3525</v>
      </c>
      <c r="AB7" s="7" t="s">
        <v>2126</v>
      </c>
    </row>
    <row r="8" customFormat="false" ht="15" hidden="false" customHeight="false" outlineLevel="0" collapsed="false">
      <c r="A8" s="7" t="s">
        <v>3746</v>
      </c>
      <c r="B8" s="7" t="s">
        <v>680</v>
      </c>
      <c r="C8" s="7" t="s">
        <v>681</v>
      </c>
      <c r="E8" s="7" t="s">
        <v>1502</v>
      </c>
      <c r="F8" s="7" t="s">
        <v>3747</v>
      </c>
      <c r="G8" s="7" t="s">
        <v>1128</v>
      </c>
      <c r="H8" s="7" t="s">
        <v>356</v>
      </c>
      <c r="J8" s="7" t="s">
        <v>3748</v>
      </c>
      <c r="K8" s="7" t="s">
        <v>158</v>
      </c>
      <c r="L8" s="7" t="s">
        <v>3749</v>
      </c>
      <c r="M8" s="7" t="s">
        <v>3750</v>
      </c>
      <c r="N8" s="7" t="s">
        <v>3751</v>
      </c>
      <c r="O8" s="7" t="s">
        <v>3752</v>
      </c>
      <c r="R8" s="7" t="s">
        <v>3735</v>
      </c>
      <c r="S8" s="7" t="s">
        <v>3753</v>
      </c>
      <c r="AB8" s="7" t="s">
        <v>3407</v>
      </c>
    </row>
    <row r="9" customFormat="false" ht="15" hidden="false" customHeight="false" outlineLevel="0" collapsed="false">
      <c r="A9" s="7" t="s">
        <v>85</v>
      </c>
      <c r="B9" s="7" t="s">
        <v>311</v>
      </c>
      <c r="C9" s="7" t="s">
        <v>3754</v>
      </c>
      <c r="E9" s="7" t="s">
        <v>371</v>
      </c>
      <c r="F9" s="7" t="s">
        <v>3755</v>
      </c>
      <c r="G9" s="7" t="s">
        <v>825</v>
      </c>
      <c r="H9" s="7" t="s">
        <v>1722</v>
      </c>
      <c r="J9" s="7" t="s">
        <v>3756</v>
      </c>
      <c r="K9" s="7" t="s">
        <v>2930</v>
      </c>
      <c r="L9" s="7" t="s">
        <v>1237</v>
      </c>
      <c r="M9" s="7" t="s">
        <v>3757</v>
      </c>
      <c r="N9" s="7" t="s">
        <v>3758</v>
      </c>
      <c r="O9" s="7" t="s">
        <v>3759</v>
      </c>
      <c r="AB9" s="7" t="s">
        <v>3380</v>
      </c>
    </row>
    <row r="10" customFormat="false" ht="15" hidden="false" customHeight="false" outlineLevel="0" collapsed="false">
      <c r="A10" s="7" t="s">
        <v>172</v>
      </c>
      <c r="B10" s="7" t="s">
        <v>765</v>
      </c>
      <c r="C10" s="7" t="s">
        <v>3760</v>
      </c>
      <c r="E10" s="7" t="s">
        <v>1943</v>
      </c>
      <c r="F10" s="7" t="s">
        <v>508</v>
      </c>
      <c r="G10" s="7" t="s">
        <v>3761</v>
      </c>
      <c r="H10" s="7" t="s">
        <v>901</v>
      </c>
      <c r="J10" s="7" t="s">
        <v>3762</v>
      </c>
      <c r="K10" s="7" t="s">
        <v>2547</v>
      </c>
      <c r="L10" s="7" t="s">
        <v>2926</v>
      </c>
      <c r="M10" s="7" t="s">
        <v>2406</v>
      </c>
      <c r="N10" s="7" t="s">
        <v>3763</v>
      </c>
      <c r="O10" s="7" t="s">
        <v>3764</v>
      </c>
      <c r="AB10" s="7" t="s">
        <v>3412</v>
      </c>
    </row>
    <row r="11" customFormat="false" ht="15" hidden="false" customHeight="false" outlineLevel="0" collapsed="false">
      <c r="A11" s="7" t="s">
        <v>3765</v>
      </c>
      <c r="B11" s="7" t="s">
        <v>2067</v>
      </c>
      <c r="C11" s="7" t="s">
        <v>1237</v>
      </c>
      <c r="E11" s="7" t="s">
        <v>1054</v>
      </c>
      <c r="H11" s="7" t="s">
        <v>2973</v>
      </c>
      <c r="J11" s="7" t="s">
        <v>3766</v>
      </c>
      <c r="K11" s="7" t="s">
        <v>2023</v>
      </c>
      <c r="L11" s="7" t="s">
        <v>3767</v>
      </c>
      <c r="M11" s="7" t="s">
        <v>2530</v>
      </c>
      <c r="N11" s="7" t="s">
        <v>3768</v>
      </c>
      <c r="O11" s="7" t="s">
        <v>3769</v>
      </c>
      <c r="AB11" s="7" t="s">
        <v>2388</v>
      </c>
    </row>
    <row r="12" customFormat="false" ht="15" hidden="false" customHeight="false" outlineLevel="0" collapsed="false">
      <c r="A12" s="7" t="s">
        <v>245</v>
      </c>
      <c r="B12" s="7" t="s">
        <v>270</v>
      </c>
      <c r="C12" s="7" t="s">
        <v>1199</v>
      </c>
      <c r="E12" s="7" t="s">
        <v>2820</v>
      </c>
      <c r="H12" s="7" t="s">
        <v>421</v>
      </c>
      <c r="J12" s="7" t="s">
        <v>3770</v>
      </c>
      <c r="K12" s="7" t="s">
        <v>1240</v>
      </c>
      <c r="L12" s="7" t="s">
        <v>2130</v>
      </c>
      <c r="M12" s="7" t="s">
        <v>3771</v>
      </c>
      <c r="N12" s="7" t="s">
        <v>3772</v>
      </c>
      <c r="O12" s="7" t="s">
        <v>3773</v>
      </c>
      <c r="AB12" s="7" t="s">
        <v>3403</v>
      </c>
    </row>
    <row r="13" customFormat="false" ht="15" hidden="false" customHeight="false" outlineLevel="0" collapsed="false">
      <c r="A13" s="7" t="s">
        <v>3774</v>
      </c>
      <c r="B13" s="7" t="s">
        <v>86</v>
      </c>
      <c r="C13" s="7" t="s">
        <v>1205</v>
      </c>
      <c r="E13" s="7" t="s">
        <v>583</v>
      </c>
      <c r="H13" s="7" t="s">
        <v>827</v>
      </c>
      <c r="J13" s="7" t="s">
        <v>3775</v>
      </c>
      <c r="M13" s="7" t="s">
        <v>3776</v>
      </c>
      <c r="N13" s="7" t="s">
        <v>2131</v>
      </c>
      <c r="O13" s="7" t="s">
        <v>3777</v>
      </c>
    </row>
    <row r="14" customFormat="false" ht="15" hidden="false" customHeight="false" outlineLevel="0" collapsed="false">
      <c r="A14" s="7" t="s">
        <v>3778</v>
      </c>
      <c r="B14" s="7" t="s">
        <v>123</v>
      </c>
      <c r="C14" s="7" t="s">
        <v>404</v>
      </c>
      <c r="E14" s="7" t="s">
        <v>2761</v>
      </c>
      <c r="H14" s="7" t="s">
        <v>651</v>
      </c>
      <c r="J14" s="7" t="s">
        <v>3779</v>
      </c>
      <c r="M14" s="7" t="s">
        <v>2592</v>
      </c>
      <c r="N14" s="7" t="s">
        <v>2388</v>
      </c>
      <c r="O14" s="7" t="s">
        <v>3780</v>
      </c>
    </row>
    <row r="15" customFormat="false" ht="15" hidden="false" customHeight="false" outlineLevel="0" collapsed="false">
      <c r="A15" s="7" t="s">
        <v>3132</v>
      </c>
      <c r="B15" s="7" t="s">
        <v>148</v>
      </c>
      <c r="C15" s="7" t="s">
        <v>124</v>
      </c>
      <c r="E15" s="7" t="s">
        <v>158</v>
      </c>
      <c r="H15" s="7" t="s">
        <v>1219</v>
      </c>
      <c r="J15" s="7" t="s">
        <v>3250</v>
      </c>
      <c r="M15" s="7" t="s">
        <v>3781</v>
      </c>
      <c r="O15" s="7" t="s">
        <v>3782</v>
      </c>
    </row>
    <row r="16" customFormat="false" ht="15" hidden="false" customHeight="false" outlineLevel="0" collapsed="false">
      <c r="A16" s="7" t="s">
        <v>2212</v>
      </c>
      <c r="B16" s="7" t="s">
        <v>1508</v>
      </c>
      <c r="C16" s="7" t="s">
        <v>394</v>
      </c>
      <c r="E16" s="7" t="s">
        <v>2926</v>
      </c>
      <c r="H16" s="7" t="s">
        <v>1056</v>
      </c>
      <c r="J16" s="7" t="s">
        <v>3500</v>
      </c>
      <c r="M16" s="7" t="s">
        <v>1961</v>
      </c>
    </row>
    <row r="17" customFormat="false" ht="15" hidden="false" customHeight="false" outlineLevel="0" collapsed="false">
      <c r="A17" s="7" t="s">
        <v>3263</v>
      </c>
      <c r="B17" s="7" t="s">
        <v>3671</v>
      </c>
      <c r="C17" s="7" t="s">
        <v>1405</v>
      </c>
      <c r="E17" s="7" t="s">
        <v>2398</v>
      </c>
      <c r="H17" s="7" t="s">
        <v>92</v>
      </c>
      <c r="M17" s="7" t="s">
        <v>907</v>
      </c>
    </row>
    <row r="18" customFormat="false" ht="15" hidden="false" customHeight="false" outlineLevel="0" collapsed="false">
      <c r="A18" s="7" t="s">
        <v>2864</v>
      </c>
      <c r="B18" s="7" t="s">
        <v>1147</v>
      </c>
      <c r="C18" s="7" t="s">
        <v>87</v>
      </c>
      <c r="E18" s="7" t="s">
        <v>2545</v>
      </c>
      <c r="H18" s="7" t="s">
        <v>274</v>
      </c>
    </row>
    <row r="19" customFormat="false" ht="15" hidden="false" customHeight="false" outlineLevel="0" collapsed="false">
      <c r="A19" s="7" t="s">
        <v>2895</v>
      </c>
      <c r="B19" s="7" t="s">
        <v>1051</v>
      </c>
      <c r="C19" s="7" t="s">
        <v>158</v>
      </c>
      <c r="E19" s="7" t="s">
        <v>2844</v>
      </c>
    </row>
    <row r="20" customFormat="false" ht="15" hidden="false" customHeight="false" outlineLevel="0" collapsed="false">
      <c r="A20" s="7" t="s">
        <v>2125</v>
      </c>
      <c r="B20" s="7" t="s">
        <v>3672</v>
      </c>
      <c r="C20" s="7" t="s">
        <v>1386</v>
      </c>
      <c r="E20" s="7" t="s">
        <v>2973</v>
      </c>
    </row>
    <row r="21" customFormat="false" ht="15" hidden="false" customHeight="false" outlineLevel="0" collapsed="false">
      <c r="B21" s="7" t="s">
        <v>1258</v>
      </c>
      <c r="C21" s="7" t="s">
        <v>200</v>
      </c>
      <c r="E21" s="7" t="s">
        <v>1961</v>
      </c>
    </row>
    <row r="22" customFormat="false" ht="15" hidden="false" customHeight="false" outlineLevel="0" collapsed="false">
      <c r="B22" s="7" t="s">
        <v>351</v>
      </c>
      <c r="C22" s="7" t="s">
        <v>1976</v>
      </c>
      <c r="E22" s="7" t="s">
        <v>2918</v>
      </c>
    </row>
    <row r="23" customFormat="false" ht="15" hidden="false" customHeight="false" outlineLevel="0" collapsed="false">
      <c r="B23" s="7" t="s">
        <v>159</v>
      </c>
      <c r="C23" s="7" t="s">
        <v>3783</v>
      </c>
      <c r="E23" s="7" t="s">
        <v>1240</v>
      </c>
    </row>
    <row r="24" customFormat="false" ht="15" hidden="false" customHeight="false" outlineLevel="0" collapsed="false">
      <c r="B24" s="7" t="s">
        <v>3209</v>
      </c>
      <c r="C24" s="7" t="s">
        <v>1052</v>
      </c>
      <c r="E24" s="7" t="s">
        <v>2324</v>
      </c>
    </row>
    <row r="25" customFormat="false" ht="15" hidden="false" customHeight="false" outlineLevel="0" collapsed="false">
      <c r="C25" s="7" t="s">
        <v>178</v>
      </c>
      <c r="E25" s="7" t="s">
        <v>2865</v>
      </c>
    </row>
    <row r="26" customFormat="false" ht="15" hidden="false" customHeight="false" outlineLevel="0" collapsed="false">
      <c r="C26" s="7" t="s">
        <v>3784</v>
      </c>
      <c r="E26" s="7" t="s">
        <v>2069</v>
      </c>
    </row>
    <row r="27" customFormat="false" ht="15" hidden="false" customHeight="false" outlineLevel="0" collapsed="false">
      <c r="C27" s="7" t="s">
        <v>3785</v>
      </c>
    </row>
    <row r="28" customFormat="false" ht="15" hidden="false" customHeight="false" outlineLevel="0" collapsed="false">
      <c r="C28" s="7" t="s">
        <v>2788</v>
      </c>
    </row>
    <row r="29" customFormat="false" ht="15" hidden="false" customHeight="false" outlineLevel="0" collapsed="false">
      <c r="C29" s="7" t="s">
        <v>101</v>
      </c>
    </row>
    <row r="30" customFormat="false" ht="15" hidden="false" customHeight="false" outlineLevel="0" collapsed="false">
      <c r="C30" s="7" t="s">
        <v>1420</v>
      </c>
    </row>
    <row r="31" customFormat="false" ht="15" hidden="false" customHeight="false" outlineLevel="0" collapsed="false">
      <c r="C31" s="7" t="s">
        <v>3786</v>
      </c>
    </row>
    <row r="32" customFormat="false" ht="15" hidden="false" customHeight="false" outlineLevel="0" collapsed="false">
      <c r="C32" s="7" t="s">
        <v>3787</v>
      </c>
    </row>
    <row r="33" customFormat="false" ht="15" hidden="false" customHeight="false" outlineLevel="0" collapsed="false">
      <c r="C33" s="7" t="s">
        <v>3788</v>
      </c>
    </row>
    <row r="34" customFormat="false" ht="15" hidden="false" customHeight="false" outlineLevel="0" collapsed="false">
      <c r="C34" s="7" t="s">
        <v>3403</v>
      </c>
    </row>
    <row r="35" customFormat="false" ht="15" hidden="false" customHeight="false" outlineLevel="0" collapsed="false">
      <c r="C35" s="7" t="s">
        <v>789</v>
      </c>
    </row>
    <row r="36" customFormat="false" ht="15" hidden="false" customHeight="false" outlineLevel="0" collapsed="false">
      <c r="C36" s="7" t="s">
        <v>2193</v>
      </c>
    </row>
    <row r="37" customFormat="false" ht="15" hidden="false" customHeight="false" outlineLevel="0" collapsed="false">
      <c r="C37" s="7" t="s">
        <v>3789</v>
      </c>
    </row>
    <row r="38" customFormat="false" ht="15" hidden="false" customHeight="false" outlineLevel="0" collapsed="false">
      <c r="C38" s="7" t="s">
        <v>2126</v>
      </c>
    </row>
    <row r="39" customFormat="false" ht="15" hidden="false" customHeight="false" outlineLevel="0" collapsed="false">
      <c r="C39" s="7" t="s">
        <v>1240</v>
      </c>
    </row>
    <row r="40" customFormat="false" ht="15" hidden="false" customHeight="false" outlineLevel="0" collapsed="false">
      <c r="C40" s="7" t="s">
        <v>2911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2026-07-21T22:38:12Z</dcterms:created>
  <dc:creator>openpyxl</dc:creator>
  <dc:description/>
  <dc:language>en-US</dc:language>
  <cp:lastModifiedBy/>
  <dcterms:modified xsi:type="dcterms:W3CDTF">2026-07-21T22:38:12Z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
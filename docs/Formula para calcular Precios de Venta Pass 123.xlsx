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 Drive Mega Anterior\MG\Fuego Verde\"/>
    </mc:Choice>
  </mc:AlternateContent>
  <xr:revisionPtr revIDLastSave="0" documentId="13_ncr:1_{8945208C-EFA7-4F1C-8DF3-3D31ACC4C0B7}" xr6:coauthVersionLast="47" xr6:coauthVersionMax="47" xr10:uidLastSave="{00000000-0000-0000-0000-000000000000}"/>
  <bookViews>
    <workbookView xWindow="-120" yWindow="-120" windowWidth="20730" windowHeight="11040" xr2:uid="{6131B088-D2AE-420F-B339-EF3DD12690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L13" i="1" s="1"/>
  <c r="H5" i="1" l="1"/>
  <c r="J13" i="1"/>
  <c r="K13" i="1"/>
  <c r="H4" i="1"/>
  <c r="K4" i="1" l="1"/>
  <c r="L4" i="1"/>
  <c r="L5" i="1"/>
  <c r="K5" i="1"/>
</calcChain>
</file>

<file path=xl/sharedStrings.xml><?xml version="1.0" encoding="utf-8"?>
<sst xmlns="http://schemas.openxmlformats.org/spreadsheetml/2006/main" count="22" uniqueCount="20">
  <si>
    <t xml:space="preserve">ROI </t>
  </si>
  <si>
    <t>Engaste</t>
  </si>
  <si>
    <t>Margen s/Venta</t>
  </si>
  <si>
    <t>Precio de Venta</t>
  </si>
  <si>
    <t>&lt;&lt;&lt; Mínimo &gt;&gt;&gt;</t>
  </si>
  <si>
    <t>&lt;&lt;&lt; Ideal &gt;&gt;&gt;</t>
  </si>
  <si>
    <r>
      <t xml:space="preserve">Fórmulas para Calcular Precios
</t>
    </r>
    <r>
      <rPr>
        <b/>
        <sz val="12"/>
        <color theme="1" tint="0.249977111117893"/>
        <rFont val="Calibri"/>
        <family val="2"/>
        <scheme val="minor"/>
      </rPr>
      <t>Ambas fórmulas dan Igual Resultado</t>
    </r>
    <r>
      <rPr>
        <b/>
        <sz val="16"/>
        <color theme="1"/>
        <rFont val="Calibri"/>
        <family val="2"/>
        <scheme val="minor"/>
      </rPr>
      <t xml:space="preserve"> </t>
    </r>
  </si>
  <si>
    <t>Valor de la Joya</t>
  </si>
  <si>
    <t>CTs</t>
  </si>
  <si>
    <t>Grms</t>
  </si>
  <si>
    <t>Oro Estructura</t>
  </si>
  <si>
    <t>Plata Estructura</t>
  </si>
  <si>
    <t>&lt;&lt;&lt; Propuesta &gt;&gt;&gt;</t>
  </si>
  <si>
    <t>(Otro especificar)</t>
  </si>
  <si>
    <t>Certificación</t>
  </si>
  <si>
    <t>Empaque</t>
  </si>
  <si>
    <t>Total Inversión</t>
  </si>
  <si>
    <t>Inversión</t>
  </si>
  <si>
    <t>Factor s/Inversión</t>
  </si>
  <si>
    <t>Fórmula B       =      Total Inversión x Factor s/Inversión
Fórmula A       =      Total Inversión / (1 - % Margen s/Venta)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</si>
</sst>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??_-;_-@_-"/>
    <numFmt numFmtId="165" formatCode="0.0%"/>
    <numFmt numFmtId="166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66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7" xfId="0" applyBorder="1"/>
    <xf numFmtId="165" fontId="6" fillId="4" borderId="8" xfId="1" applyNumberFormat="1" applyFont="1" applyFill="1" applyBorder="1" applyAlignment="1">
      <alignment horizontal="center" vertical="center"/>
    </xf>
    <xf numFmtId="165" fontId="5" fillId="3" borderId="8" xfId="1" applyNumberFormat="1" applyFont="1" applyFill="1" applyBorder="1" applyAlignment="1">
      <alignment horizontal="center" vertical="center"/>
    </xf>
    <xf numFmtId="166" fontId="4" fillId="0" borderId="8" xfId="0" applyNumberFormat="1" applyFont="1" applyFill="1" applyBorder="1" applyAlignment="1">
      <alignment horizontal="center" vertical="center"/>
    </xf>
    <xf numFmtId="165" fontId="4" fillId="0" borderId="8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vertical="center"/>
    </xf>
    <xf numFmtId="0" fontId="2" fillId="0" borderId="1" xfId="0" applyFont="1" applyBorder="1" applyAlignment="1" applyProtection="1">
      <alignment horizontal="left" vertical="center" indent="2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64" fontId="4" fillId="2" borderId="1" xfId="0" applyNumberFormat="1" applyFont="1" applyFill="1" applyBorder="1" applyAlignment="1" applyProtection="1">
      <alignment vertical="center"/>
      <protection locked="0"/>
    </xf>
    <xf numFmtId="0" fontId="10" fillId="0" borderId="0" xfId="0" applyFont="1"/>
    <xf numFmtId="0" fontId="7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indent="1"/>
    </xf>
    <xf numFmtId="0" fontId="2" fillId="0" borderId="3" xfId="0" applyFont="1" applyBorder="1" applyAlignment="1">
      <alignment horizontal="right" vertical="center" indent="1"/>
    </xf>
    <xf numFmtId="0" fontId="2" fillId="0" borderId="4" xfId="0" applyFont="1" applyBorder="1" applyAlignment="1">
      <alignment horizontal="right" vertical="center" indent="1"/>
    </xf>
    <xf numFmtId="0" fontId="11" fillId="0" borderId="5" xfId="0" applyFont="1" applyBorder="1" applyAlignment="1">
      <alignment horizontal="left" vertical="center" wrapText="1" indent="3"/>
    </xf>
    <xf numFmtId="0" fontId="11" fillId="0" borderId="10" xfId="0" applyFont="1" applyBorder="1" applyAlignment="1">
      <alignment horizontal="left" vertical="center" wrapText="1" indent="3"/>
    </xf>
    <xf numFmtId="166" fontId="4" fillId="2" borderId="8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D994-7853-4439-AFBE-B8E5FE31A84D}">
  <dimension ref="A1:M16"/>
  <sheetViews>
    <sheetView showGridLines="0" tabSelected="1" zoomScale="120" zoomScaleNormal="120" workbookViewId="0">
      <selection activeCell="A6" sqref="A6"/>
    </sheetView>
  </sheetViews>
  <sheetFormatPr baseColWidth="10" defaultRowHeight="15" x14ac:dyDescent="0.25"/>
  <cols>
    <col min="1" max="1" width="16.140625" customWidth="1"/>
    <col min="2" max="2" width="3.5703125" customWidth="1"/>
    <col min="3" max="3" width="22" bestFit="1" customWidth="1"/>
    <col min="4" max="5" width="8" customWidth="1"/>
    <col min="6" max="6" width="14.7109375" bestFit="1" customWidth="1"/>
    <col min="7" max="7" width="1.7109375" customWidth="1"/>
    <col min="8" max="9" width="17" customWidth="1"/>
    <col min="10" max="10" width="10.7109375" customWidth="1"/>
    <col min="11" max="11" width="12.85546875" bestFit="1" customWidth="1"/>
  </cols>
  <sheetData>
    <row r="1" spans="1:13" ht="3.75" customHeight="1" x14ac:dyDescent="0.25"/>
    <row r="2" spans="1:13" ht="36.75" customHeight="1" x14ac:dyDescent="0.25">
      <c r="B2" s="12" t="s">
        <v>6</v>
      </c>
      <c r="C2" s="13"/>
      <c r="D2" s="13"/>
      <c r="E2" s="13"/>
      <c r="F2" s="13"/>
      <c r="G2" s="13"/>
      <c r="H2" s="13"/>
      <c r="I2" s="25" t="s">
        <v>19</v>
      </c>
      <c r="J2" s="25"/>
      <c r="K2" s="25"/>
      <c r="L2" s="26"/>
      <c r="M2" s="6"/>
    </row>
    <row r="3" spans="1:13" s="18" customFormat="1" ht="28.5" customHeight="1" x14ac:dyDescent="0.2">
      <c r="C3" s="19" t="s">
        <v>17</v>
      </c>
      <c r="D3" s="19"/>
      <c r="E3" s="19"/>
      <c r="F3" s="19"/>
      <c r="G3" s="20"/>
      <c r="H3" s="21" t="s">
        <v>3</v>
      </c>
      <c r="J3" s="21" t="s">
        <v>18</v>
      </c>
      <c r="K3" s="21" t="s">
        <v>2</v>
      </c>
      <c r="L3" s="21" t="s">
        <v>0</v>
      </c>
    </row>
    <row r="4" spans="1:13" ht="20.100000000000001" customHeight="1" x14ac:dyDescent="0.25">
      <c r="C4" s="15" t="s">
        <v>7</v>
      </c>
      <c r="D4" s="16" t="s">
        <v>8</v>
      </c>
      <c r="E4" s="15"/>
      <c r="F4" s="17">
        <v>300000</v>
      </c>
      <c r="G4" s="2"/>
      <c r="H4" s="4">
        <f>$F$13*J4</f>
        <v>1460000</v>
      </c>
      <c r="I4" s="11" t="s">
        <v>4</v>
      </c>
      <c r="J4" s="27">
        <v>2</v>
      </c>
      <c r="K4" s="7">
        <f>(H4-$F$13)/H4</f>
        <v>0.5</v>
      </c>
      <c r="L4" s="8">
        <f>(H4-$F$13)/$F$13</f>
        <v>1</v>
      </c>
    </row>
    <row r="5" spans="1:13" ht="20.100000000000001" customHeight="1" x14ac:dyDescent="0.25">
      <c r="A5" s="1"/>
      <c r="C5" s="15" t="s">
        <v>10</v>
      </c>
      <c r="D5" s="16" t="s">
        <v>9</v>
      </c>
      <c r="E5" s="15"/>
      <c r="F5" s="17"/>
      <c r="H5" s="4">
        <f>$F$13*J5</f>
        <v>2190000</v>
      </c>
      <c r="I5" s="11" t="s">
        <v>5</v>
      </c>
      <c r="J5" s="27">
        <v>3</v>
      </c>
      <c r="K5" s="7">
        <f>(H5-$F$13)/H5</f>
        <v>0.66666666666666663</v>
      </c>
      <c r="L5" s="8">
        <f>(H5-$F$13)/$F$13</f>
        <v>2</v>
      </c>
    </row>
    <row r="6" spans="1:13" ht="20.100000000000001" customHeight="1" x14ac:dyDescent="0.25">
      <c r="A6" s="1"/>
      <c r="C6" s="15" t="s">
        <v>11</v>
      </c>
      <c r="D6" s="16" t="s">
        <v>9</v>
      </c>
      <c r="E6" s="15"/>
      <c r="F6" s="17">
        <v>320000</v>
      </c>
      <c r="H6" s="14"/>
      <c r="I6" s="11"/>
    </row>
    <row r="7" spans="1:13" ht="20.100000000000001" customHeight="1" x14ac:dyDescent="0.25">
      <c r="C7" s="15" t="s">
        <v>1</v>
      </c>
      <c r="D7" s="16"/>
      <c r="E7" s="15"/>
      <c r="F7" s="17">
        <v>60000</v>
      </c>
      <c r="G7" s="2"/>
    </row>
    <row r="8" spans="1:13" ht="20.100000000000001" customHeight="1" x14ac:dyDescent="0.25">
      <c r="C8" s="15" t="s">
        <v>14</v>
      </c>
      <c r="D8" s="16"/>
      <c r="E8" s="15"/>
      <c r="F8" s="17"/>
      <c r="G8" s="2"/>
    </row>
    <row r="9" spans="1:13" ht="20.100000000000001" customHeight="1" x14ac:dyDescent="0.25">
      <c r="C9" s="15" t="s">
        <v>15</v>
      </c>
      <c r="D9" s="16"/>
      <c r="E9" s="15"/>
      <c r="F9" s="17"/>
      <c r="G9" s="2"/>
    </row>
    <row r="10" spans="1:13" ht="20.100000000000001" customHeight="1" x14ac:dyDescent="0.25">
      <c r="C10" s="15" t="s">
        <v>13</v>
      </c>
      <c r="D10" s="16"/>
      <c r="E10" s="15"/>
      <c r="F10" s="17"/>
    </row>
    <row r="11" spans="1:13" ht="20.100000000000001" customHeight="1" x14ac:dyDescent="0.25">
      <c r="C11" s="15" t="s">
        <v>13</v>
      </c>
      <c r="D11" s="16"/>
      <c r="E11" s="15"/>
      <c r="F11" s="17">
        <v>50000</v>
      </c>
    </row>
    <row r="12" spans="1:13" ht="5.25" customHeight="1" x14ac:dyDescent="0.25">
      <c r="C12" s="5"/>
      <c r="D12" s="5"/>
      <c r="E12" s="5"/>
      <c r="F12" s="2"/>
      <c r="G12" s="2"/>
      <c r="H12" s="3"/>
      <c r="I12" s="2"/>
    </row>
    <row r="13" spans="1:13" ht="20.100000000000001" customHeight="1" x14ac:dyDescent="0.25">
      <c r="C13" s="22" t="s">
        <v>16</v>
      </c>
      <c r="D13" s="23"/>
      <c r="E13" s="24"/>
      <c r="F13" s="4">
        <f>SUM(F4:F11)</f>
        <v>730000</v>
      </c>
      <c r="G13" s="2"/>
      <c r="H13" s="17">
        <v>1400000</v>
      </c>
      <c r="I13" s="11" t="s">
        <v>12</v>
      </c>
      <c r="J13" s="9">
        <f>H13/F13</f>
        <v>1.9178082191780821</v>
      </c>
      <c r="K13" s="10">
        <f>(H13-$F$13)/H13</f>
        <v>0.47857142857142859</v>
      </c>
      <c r="L13" s="10">
        <f>(H13-$F$13)/$F$13</f>
        <v>0.9178082191780822</v>
      </c>
    </row>
    <row r="14" spans="1:13" ht="20.100000000000001" customHeight="1" x14ac:dyDescent="0.25">
      <c r="C14" s="2"/>
      <c r="D14" s="2"/>
      <c r="E14" s="2"/>
      <c r="F14" s="2"/>
      <c r="G14" s="2"/>
    </row>
    <row r="15" spans="1:13" ht="20.100000000000001" customHeight="1" x14ac:dyDescent="0.25">
      <c r="C15" s="2"/>
      <c r="D15" s="2"/>
      <c r="E15" s="2"/>
      <c r="F15" s="2"/>
      <c r="G15" s="2"/>
    </row>
    <row r="16" spans="1:13" ht="11.25" customHeight="1" x14ac:dyDescent="0.25"/>
  </sheetData>
  <sheetProtection algorithmName="SHA-512" hashValue="xCmDOrFakNcKGjJ5S65gerbxPd8dRT+L821WKTvtnZD7lDWp4Do0k2k2Ya5MWRpJ2dwokK7Lqw4bsW0smiavlg==" saltValue="p52Q4aYuu+85Xnm56KJTVw==" spinCount="100000" sheet="1" objects="1" scenarios="1"/>
  <mergeCells count="4">
    <mergeCell ref="C3:F3"/>
    <mergeCell ref="I2:L2"/>
    <mergeCell ref="B2:H2"/>
    <mergeCell ref="C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Florez</dc:creator>
  <cp:lastModifiedBy>Jose Florez</cp:lastModifiedBy>
  <dcterms:created xsi:type="dcterms:W3CDTF">2025-11-25T21:53:04Z</dcterms:created>
  <dcterms:modified xsi:type="dcterms:W3CDTF">2025-11-27T22:33:43Z</dcterms:modified>
</cp:coreProperties>
</file>